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F30\Desktop\"/>
    </mc:Choice>
  </mc:AlternateContent>
  <bookViews>
    <workbookView xWindow="0" yWindow="0" windowWidth="22170" windowHeight="9150"/>
  </bookViews>
  <sheets>
    <sheet name="집행내역관리" sheetId="20" r:id="rId1"/>
    <sheet name="입력예시" sheetId="19" r:id="rId2"/>
  </sheets>
  <definedNames>
    <definedName name="_xlnm._FilterDatabase" localSheetId="1" hidden="1">입력예시!$K$30:$R$80</definedName>
    <definedName name="_xlnm._FilterDatabase" localSheetId="0" hidden="1">집행내역관리!$K$30:$R$80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20" l="1"/>
  <c r="F65" i="20" l="1"/>
  <c r="E65" i="20"/>
  <c r="H64" i="20"/>
  <c r="G64" i="20"/>
  <c r="H63" i="20"/>
  <c r="G63" i="20"/>
  <c r="H62" i="20"/>
  <c r="G62" i="20"/>
  <c r="H61" i="20"/>
  <c r="G61" i="20"/>
  <c r="H60" i="20"/>
  <c r="G60" i="20"/>
  <c r="H59" i="20"/>
  <c r="G59" i="20"/>
  <c r="H58" i="20"/>
  <c r="G58" i="20"/>
  <c r="H57" i="20"/>
  <c r="G57" i="20"/>
  <c r="H56" i="20"/>
  <c r="G56" i="20"/>
  <c r="H55" i="20"/>
  <c r="G55" i="20"/>
  <c r="H54" i="20"/>
  <c r="G54" i="20"/>
  <c r="H53" i="20"/>
  <c r="G53" i="20"/>
  <c r="H52" i="20"/>
  <c r="G52" i="20"/>
  <c r="H51" i="20"/>
  <c r="G51" i="20"/>
  <c r="H50" i="20"/>
  <c r="G50" i="20"/>
  <c r="H49" i="20"/>
  <c r="G49" i="20"/>
  <c r="H48" i="20"/>
  <c r="G48" i="20"/>
  <c r="H47" i="20"/>
  <c r="G47" i="20"/>
  <c r="H46" i="20"/>
  <c r="G46" i="20"/>
  <c r="H45" i="20"/>
  <c r="G45" i="20"/>
  <c r="H44" i="20"/>
  <c r="G44" i="20"/>
  <c r="H43" i="20"/>
  <c r="G43" i="20"/>
  <c r="H42" i="20"/>
  <c r="G42" i="20"/>
  <c r="H41" i="20"/>
  <c r="I24" i="20" s="1"/>
  <c r="G41" i="20"/>
  <c r="H40" i="20"/>
  <c r="G40" i="20"/>
  <c r="H39" i="20"/>
  <c r="G39" i="20"/>
  <c r="H38" i="20"/>
  <c r="G38" i="20"/>
  <c r="H37" i="20"/>
  <c r="G37" i="20"/>
  <c r="H36" i="20"/>
  <c r="G36" i="20"/>
  <c r="H35" i="20"/>
  <c r="I18" i="20" s="1"/>
  <c r="G35" i="20"/>
  <c r="H34" i="20"/>
  <c r="G34" i="20"/>
  <c r="H33" i="20"/>
  <c r="G33" i="20"/>
  <c r="H32" i="20"/>
  <c r="I15" i="20" s="1"/>
  <c r="G32" i="20"/>
  <c r="H31" i="20"/>
  <c r="I14" i="20" s="1"/>
  <c r="G31" i="20"/>
  <c r="G25" i="20"/>
  <c r="F25" i="20"/>
  <c r="G24" i="20"/>
  <c r="F24" i="20"/>
  <c r="G23" i="20"/>
  <c r="F23" i="20"/>
  <c r="E23" i="20"/>
  <c r="D23" i="20"/>
  <c r="G22" i="20"/>
  <c r="F22" i="20"/>
  <c r="G21" i="20"/>
  <c r="F21" i="20"/>
  <c r="G20" i="20"/>
  <c r="F20" i="20"/>
  <c r="E20" i="20"/>
  <c r="D20" i="20"/>
  <c r="G19" i="20"/>
  <c r="F19" i="20"/>
  <c r="D19" i="20"/>
  <c r="E19" i="20" s="1"/>
  <c r="G18" i="20"/>
  <c r="F18" i="20"/>
  <c r="G17" i="20"/>
  <c r="F17" i="20"/>
  <c r="G16" i="20"/>
  <c r="F16" i="20"/>
  <c r="G15" i="20"/>
  <c r="F15" i="20"/>
  <c r="G14" i="20"/>
  <c r="F14" i="20"/>
  <c r="D14" i="20"/>
  <c r="E14" i="20" s="1"/>
  <c r="C10" i="20"/>
  <c r="H31" i="19"/>
  <c r="F65" i="19"/>
  <c r="E65" i="19"/>
  <c r="F15" i="19"/>
  <c r="F14" i="19"/>
  <c r="E23" i="19"/>
  <c r="E20" i="19"/>
  <c r="E19" i="19"/>
  <c r="E14" i="19"/>
  <c r="G20" i="19"/>
  <c r="F18" i="19"/>
  <c r="F17" i="19"/>
  <c r="F16" i="19"/>
  <c r="H25" i="20" l="1"/>
  <c r="H20" i="20"/>
  <c r="G65" i="20"/>
  <c r="H17" i="20"/>
  <c r="I19" i="20"/>
  <c r="H14" i="20"/>
  <c r="J14" i="20" s="1"/>
  <c r="H16" i="20"/>
  <c r="F10" i="20"/>
  <c r="I20" i="20"/>
  <c r="I22" i="20"/>
  <c r="I57" i="20"/>
  <c r="I16" i="20"/>
  <c r="I61" i="20"/>
  <c r="H22" i="20"/>
  <c r="H24" i="20"/>
  <c r="J24" i="20" s="1"/>
  <c r="H15" i="20"/>
  <c r="H21" i="20"/>
  <c r="H23" i="20"/>
  <c r="I36" i="20"/>
  <c r="I42" i="20"/>
  <c r="I48" i="20"/>
  <c r="I54" i="20"/>
  <c r="I60" i="20"/>
  <c r="H18" i="20"/>
  <c r="J18" i="20" s="1"/>
  <c r="I34" i="20"/>
  <c r="I40" i="20"/>
  <c r="I46" i="20"/>
  <c r="I52" i="20"/>
  <c r="I58" i="20"/>
  <c r="I64" i="20"/>
  <c r="G26" i="20"/>
  <c r="H19" i="20"/>
  <c r="I38" i="20"/>
  <c r="I44" i="20"/>
  <c r="I50" i="20"/>
  <c r="I56" i="20"/>
  <c r="I62" i="20"/>
  <c r="I35" i="20"/>
  <c r="I41" i="20"/>
  <c r="I47" i="20"/>
  <c r="I53" i="20"/>
  <c r="I59" i="20"/>
  <c r="I17" i="20"/>
  <c r="I33" i="20"/>
  <c r="I39" i="20"/>
  <c r="I45" i="20"/>
  <c r="I51" i="20"/>
  <c r="H65" i="20"/>
  <c r="I21" i="20"/>
  <c r="I23" i="20"/>
  <c r="I31" i="20"/>
  <c r="I37" i="20"/>
  <c r="I43" i="20"/>
  <c r="I49" i="20"/>
  <c r="I55" i="20"/>
  <c r="I63" i="20"/>
  <c r="I25" i="20"/>
  <c r="I32" i="20"/>
  <c r="F26" i="20"/>
  <c r="G65" i="19"/>
  <c r="J20" i="20" l="1"/>
  <c r="J17" i="20"/>
  <c r="J19" i="20"/>
  <c r="J22" i="20"/>
  <c r="J16" i="20"/>
  <c r="J23" i="20"/>
  <c r="H26" i="20"/>
  <c r="J15" i="20"/>
  <c r="I65" i="20"/>
  <c r="J21" i="20"/>
  <c r="I26" i="20"/>
  <c r="J25" i="20"/>
  <c r="J26" i="20" l="1"/>
  <c r="D14" i="19" l="1"/>
  <c r="G47" i="19"/>
  <c r="G46" i="19"/>
  <c r="G45" i="19"/>
  <c r="G44" i="19"/>
  <c r="G43" i="19"/>
  <c r="G36" i="19"/>
  <c r="G34" i="19"/>
  <c r="G33" i="19"/>
  <c r="G32" i="19"/>
  <c r="G31" i="19"/>
  <c r="I31" i="19" s="1"/>
  <c r="G16" i="19"/>
  <c r="H16" i="19" s="1"/>
  <c r="G17" i="19"/>
  <c r="H17" i="19" s="1"/>
  <c r="G18" i="19"/>
  <c r="H18" i="19" s="1"/>
  <c r="G19" i="19"/>
  <c r="G21" i="19"/>
  <c r="G22" i="19"/>
  <c r="G23" i="19"/>
  <c r="H23" i="19" s="1"/>
  <c r="G24" i="19"/>
  <c r="G25" i="19"/>
  <c r="G14" i="19"/>
  <c r="F9" i="19"/>
  <c r="F10" i="19" s="1"/>
  <c r="G15" i="19"/>
  <c r="H15" i="19" s="1"/>
  <c r="F19" i="19"/>
  <c r="F20" i="19"/>
  <c r="H20" i="19" s="1"/>
  <c r="F21" i="19"/>
  <c r="F22" i="19"/>
  <c r="F23" i="19"/>
  <c r="F24" i="19"/>
  <c r="F25" i="19"/>
  <c r="H32" i="19"/>
  <c r="G56" i="19"/>
  <c r="G57" i="19"/>
  <c r="G58" i="19"/>
  <c r="G59" i="19"/>
  <c r="G60" i="19"/>
  <c r="G61" i="19"/>
  <c r="G62" i="19"/>
  <c r="G63" i="19"/>
  <c r="G48" i="19"/>
  <c r="G49" i="19"/>
  <c r="G50" i="19"/>
  <c r="G51" i="19"/>
  <c r="G52" i="19"/>
  <c r="G35" i="19"/>
  <c r="G37" i="19"/>
  <c r="G38" i="19"/>
  <c r="G39" i="19"/>
  <c r="G40" i="19"/>
  <c r="G41" i="19"/>
  <c r="H56" i="19"/>
  <c r="H57" i="19"/>
  <c r="H58" i="19"/>
  <c r="H59" i="19"/>
  <c r="H60" i="19"/>
  <c r="H61" i="19"/>
  <c r="H62" i="19"/>
  <c r="H63" i="19"/>
  <c r="H64" i="19"/>
  <c r="H54" i="19"/>
  <c r="H44" i="19"/>
  <c r="H45" i="19"/>
  <c r="H46" i="19"/>
  <c r="H47" i="19"/>
  <c r="H48" i="19"/>
  <c r="H49" i="19"/>
  <c r="I49" i="19" s="1"/>
  <c r="H50" i="19"/>
  <c r="H51" i="19"/>
  <c r="H52" i="19"/>
  <c r="H53" i="19"/>
  <c r="H43" i="19"/>
  <c r="H33" i="19"/>
  <c r="H34" i="19"/>
  <c r="H35" i="19"/>
  <c r="H36" i="19"/>
  <c r="H37" i="19"/>
  <c r="H38" i="19"/>
  <c r="H39" i="19"/>
  <c r="H40" i="19"/>
  <c r="I40" i="19" s="1"/>
  <c r="H41" i="19"/>
  <c r="I41" i="19" s="1"/>
  <c r="H42" i="19"/>
  <c r="G42" i="19"/>
  <c r="G53" i="19"/>
  <c r="G54" i="19"/>
  <c r="G55" i="19"/>
  <c r="G64" i="19"/>
  <c r="D23" i="19"/>
  <c r="D20" i="19"/>
  <c r="D19" i="19"/>
  <c r="I42" i="19" l="1"/>
  <c r="I60" i="19"/>
  <c r="I36" i="19"/>
  <c r="F26" i="19"/>
  <c r="H22" i="19"/>
  <c r="H21" i="19"/>
  <c r="G26" i="19"/>
  <c r="H19" i="19"/>
  <c r="H25" i="19"/>
  <c r="H24" i="19"/>
  <c r="H14" i="19"/>
  <c r="I20" i="19"/>
  <c r="I22" i="19"/>
  <c r="I21" i="19"/>
  <c r="I14" i="19"/>
  <c r="I32" i="19"/>
  <c r="I18" i="19"/>
  <c r="I17" i="19"/>
  <c r="J17" i="19" s="1"/>
  <c r="I35" i="19"/>
  <c r="I15" i="19"/>
  <c r="J15" i="19" s="1"/>
  <c r="I25" i="19"/>
  <c r="I19" i="19"/>
  <c r="I24" i="19"/>
  <c r="I23" i="19"/>
  <c r="I51" i="19"/>
  <c r="I45" i="19"/>
  <c r="I52" i="19"/>
  <c r="I46" i="19"/>
  <c r="I54" i="19"/>
  <c r="I64" i="19"/>
  <c r="I53" i="19"/>
  <c r="I50" i="19"/>
  <c r="I44" i="19"/>
  <c r="I43" i="19"/>
  <c r="I39" i="19"/>
  <c r="I38" i="19"/>
  <c r="I33" i="19"/>
  <c r="I59" i="19"/>
  <c r="I58" i="19"/>
  <c r="I63" i="19"/>
  <c r="I57" i="19"/>
  <c r="I62" i="19"/>
  <c r="I56" i="19"/>
  <c r="I61" i="19"/>
  <c r="I48" i="19"/>
  <c r="I47" i="19"/>
  <c r="I34" i="19"/>
  <c r="I37" i="19"/>
  <c r="C10" i="19"/>
  <c r="H26" i="19" l="1"/>
  <c r="J14" i="19"/>
  <c r="J22" i="19"/>
  <c r="J20" i="19"/>
  <c r="J21" i="19"/>
  <c r="J18" i="19"/>
  <c r="J19" i="19"/>
  <c r="J25" i="19"/>
  <c r="J24" i="19"/>
  <c r="J23" i="19"/>
  <c r="H55" i="19" l="1"/>
  <c r="H65" i="19" s="1"/>
  <c r="I16" i="19" l="1"/>
  <c r="I26" i="19" s="1"/>
  <c r="I55" i="19"/>
  <c r="I65" i="19" s="1"/>
  <c r="J16" i="19" l="1"/>
  <c r="J26" i="19" s="1"/>
</calcChain>
</file>

<file path=xl/sharedStrings.xml><?xml version="1.0" encoding="utf-8"?>
<sst xmlns="http://schemas.openxmlformats.org/spreadsheetml/2006/main" count="330" uniqueCount="124">
  <si>
    <t>세부사업 3</t>
  </si>
  <si>
    <t>세부사업 2</t>
  </si>
  <si>
    <t>일반활동비</t>
  </si>
  <si>
    <t>체크카드</t>
  </si>
  <si>
    <t>식비및다과비</t>
  </si>
  <si>
    <t>사업운영비</t>
    <phoneticPr fontId="2" type="noConversion"/>
  </si>
  <si>
    <t>활동비</t>
    <phoneticPr fontId="2" type="noConversion"/>
  </si>
  <si>
    <t>홍보인쇄비</t>
    <phoneticPr fontId="2" type="noConversion"/>
  </si>
  <si>
    <t>소모품구입비</t>
    <phoneticPr fontId="2" type="noConversion"/>
  </si>
  <si>
    <t>임차비</t>
    <phoneticPr fontId="2" type="noConversion"/>
  </si>
  <si>
    <t>여비</t>
    <phoneticPr fontId="2" type="noConversion"/>
  </si>
  <si>
    <t>식비및다과비</t>
    <phoneticPr fontId="2" type="noConversion"/>
  </si>
  <si>
    <t>회의비</t>
    <phoneticPr fontId="2" type="noConversion"/>
  </si>
  <si>
    <t>원고비</t>
    <phoneticPr fontId="2" type="noConversion"/>
  </si>
  <si>
    <t>강사비</t>
    <phoneticPr fontId="2" type="noConversion"/>
  </si>
  <si>
    <t>공연비</t>
    <phoneticPr fontId="2" type="noConversion"/>
  </si>
  <si>
    <t>견학비</t>
    <phoneticPr fontId="2" type="noConversion"/>
  </si>
  <si>
    <t>인터넷통신우편비</t>
    <phoneticPr fontId="2" type="noConversion"/>
  </si>
  <si>
    <t>세부사업 1</t>
  </si>
  <si>
    <t>최대가용액</t>
    <phoneticPr fontId="2" type="noConversion"/>
  </si>
  <si>
    <t>활동비</t>
  </si>
  <si>
    <t>활동비 합계</t>
    <phoneticPr fontId="2" type="noConversion"/>
  </si>
  <si>
    <t>세부사업
③</t>
    <phoneticPr fontId="2" type="noConversion"/>
  </si>
  <si>
    <t>세부사업 
②</t>
    <phoneticPr fontId="2" type="noConversion"/>
  </si>
  <si>
    <t>사업운영비</t>
    <phoneticPr fontId="2" type="noConversion"/>
  </si>
  <si>
    <t>사업운영비</t>
    <phoneticPr fontId="2" type="noConversion"/>
  </si>
  <si>
    <t>소모품구입비</t>
  </si>
  <si>
    <t>강사비</t>
  </si>
  <si>
    <t>강사비</t>
    <phoneticPr fontId="2" type="noConversion"/>
  </si>
  <si>
    <t>합계</t>
    <phoneticPr fontId="2" type="noConversion"/>
  </si>
  <si>
    <t>홍보인쇄비</t>
  </si>
  <si>
    <r>
      <rPr>
        <b/>
        <sz val="11"/>
        <color rgb="FF00B0F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구분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</si>
  <si>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계좌번호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</si>
  <si>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대표자명</t>
    </r>
    <phoneticPr fontId="2" type="noConversion"/>
  </si>
  <si>
    <t>합계</t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</si>
  <si>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거래처명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</si>
  <si>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카드번호</t>
    </r>
    <phoneticPr fontId="2" type="noConversion"/>
  </si>
  <si>
    <t>보조금 집행 현황</t>
    <phoneticPr fontId="2" type="noConversion"/>
  </si>
  <si>
    <t xml:space="preserve">단체 정보 </t>
    <phoneticPr fontId="2" type="noConversion"/>
  </si>
  <si>
    <t>편성세목별 실집행액</t>
    <phoneticPr fontId="2" type="noConversion"/>
  </si>
  <si>
    <t>* 목록선택 및 직접입력하여 기입</t>
    <phoneticPr fontId="2" type="noConversion"/>
  </si>
  <si>
    <t>* 모든 항목 자동입력</t>
    <phoneticPr fontId="2" type="noConversion"/>
  </si>
  <si>
    <t>2024 유성매직 공모사업 집행 내역 관리</t>
    <phoneticPr fontId="2" type="noConversion"/>
  </si>
  <si>
    <r>
      <t xml:space="preserve">세부사업
</t>
    </r>
    <r>
      <rPr>
        <b/>
        <sz val="11"/>
        <rFont val="맑은 고딕"/>
        <family val="3"/>
        <charset val="129"/>
      </rPr>
      <t>①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</si>
  <si>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단체명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</si>
  <si>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거래일자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</si>
  <si>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 xml:space="preserve">실집행액 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</si>
  <si>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비고</t>
    </r>
    <phoneticPr fontId="2" type="noConversion"/>
  </si>
  <si>
    <r>
      <rPr>
        <b/>
        <sz val="11"/>
        <color rgb="FF00B0F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지출방법</t>
    </r>
    <phoneticPr fontId="2" type="noConversion"/>
  </si>
  <si>
    <r>
      <rPr>
        <b/>
        <sz val="11"/>
        <color rgb="FF00B0F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보조세목(편성)</t>
    </r>
    <phoneticPr fontId="2" type="noConversion"/>
  </si>
  <si>
    <r>
      <rPr>
        <b/>
        <sz val="11"/>
        <color rgb="FF00B0F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세부사업</t>
    </r>
    <phoneticPr fontId="2" type="noConversion"/>
  </si>
  <si>
    <t>실집행 내역</t>
    <phoneticPr fontId="2" type="noConversion"/>
  </si>
  <si>
    <t>세부사업/편성세목별 실집행액</t>
    <phoneticPr fontId="2" type="noConversion"/>
  </si>
  <si>
    <t>㈜미리</t>
    <phoneticPr fontId="2" type="noConversion"/>
  </si>
  <si>
    <t>현수막 제작</t>
    <phoneticPr fontId="2" type="noConversion"/>
  </si>
  <si>
    <t>다이소</t>
    <phoneticPr fontId="2" type="noConversion"/>
  </si>
  <si>
    <t>계좌이체</t>
  </si>
  <si>
    <t>행사준비(도화지, 물감,풍선 등)</t>
    <phoneticPr fontId="2" type="noConversion"/>
  </si>
  <si>
    <t>행사준비 모임 식비</t>
    <phoneticPr fontId="2" type="noConversion"/>
  </si>
  <si>
    <t>할머니추어탕</t>
    <phoneticPr fontId="2" type="noConversion"/>
  </si>
  <si>
    <t>회계담당자 5월 활동비</t>
    <phoneticPr fontId="2" type="noConversion"/>
  </si>
  <si>
    <t>김oo</t>
    <phoneticPr fontId="2" type="noConversion"/>
  </si>
  <si>
    <t>정oo</t>
    <phoneticPr fontId="2" type="noConversion"/>
  </si>
  <si>
    <t>사업담당자 5월 활동비</t>
    <phoneticPr fontId="2" type="noConversion"/>
  </si>
  <si>
    <t>이oo</t>
    <phoneticPr fontId="2" type="noConversion"/>
  </si>
  <si>
    <t>대표 5월 활동비</t>
    <phoneticPr fontId="2" type="noConversion"/>
  </si>
  <si>
    <t>현수막,홍보전단지 제작</t>
    <phoneticPr fontId="2" type="noConversion"/>
  </si>
  <si>
    <t>행사준비(노트,색종이세트 등)</t>
    <phoneticPr fontId="2" type="noConversion"/>
  </si>
  <si>
    <t>행사관련 서적 구매</t>
    <phoneticPr fontId="2" type="noConversion"/>
  </si>
  <si>
    <t>최oo</t>
    <phoneticPr fontId="2" type="noConversion"/>
  </si>
  <si>
    <t xml:space="preserve">3급 강사비 </t>
    <phoneticPr fontId="2" type="noConversion"/>
  </si>
  <si>
    <t>회계담당자 6월 활동비</t>
    <phoneticPr fontId="2" type="noConversion"/>
  </si>
  <si>
    <t>사업담당자 6월 활동비</t>
    <phoneticPr fontId="2" type="noConversion"/>
  </si>
  <si>
    <t>대표 6월 활동비</t>
    <phoneticPr fontId="2" type="noConversion"/>
  </si>
  <si>
    <t>공연비</t>
  </si>
  <si>
    <t>배oo</t>
    <phoneticPr fontId="2" type="noConversion"/>
  </si>
  <si>
    <t>박oo</t>
    <phoneticPr fontId="2" type="noConversion"/>
  </si>
  <si>
    <t xml:space="preserve">행사 공연자 </t>
    <phoneticPr fontId="2" type="noConversion"/>
  </si>
  <si>
    <t>조oo</t>
    <phoneticPr fontId="2" type="noConversion"/>
  </si>
  <si>
    <t>공연비</t>
    <phoneticPr fontId="2" type="noConversion"/>
  </si>
  <si>
    <t>소머리국밥</t>
    <phoneticPr fontId="2" type="noConversion"/>
  </si>
  <si>
    <t>진사아구찜</t>
    <phoneticPr fontId="2" type="noConversion"/>
  </si>
  <si>
    <t>도미모피자</t>
    <phoneticPr fontId="2" type="noConversion"/>
  </si>
  <si>
    <t>대람문고</t>
    <phoneticPr fontId="2" type="noConversion"/>
  </si>
  <si>
    <t>영품문고</t>
    <phoneticPr fontId="2" type="noConversion"/>
  </si>
  <si>
    <t>오네칼국수</t>
    <phoneticPr fontId="2" type="noConversion"/>
  </si>
  <si>
    <t>사업 결과 정리 회의 후 식사</t>
    <phoneticPr fontId="2" type="noConversion"/>
  </si>
  <si>
    <t>회의 후 식사</t>
    <phoneticPr fontId="2" type="noConversion"/>
  </si>
  <si>
    <t>본죽</t>
    <phoneticPr fontId="2" type="noConversion"/>
  </si>
  <si>
    <t>* 목록선택 및 직접입력하여 기입</t>
    <phoneticPr fontId="2" type="noConversion"/>
  </si>
  <si>
    <t>예산비목</t>
    <phoneticPr fontId="2" type="noConversion"/>
  </si>
  <si>
    <t>편성세목</t>
    <phoneticPr fontId="2" type="noConversion"/>
  </si>
  <si>
    <t>일반활동비</t>
    <phoneticPr fontId="2" type="noConversion"/>
  </si>
  <si>
    <t>홍보인쇄비</t>
    <phoneticPr fontId="2" type="noConversion"/>
  </si>
  <si>
    <t>편성제한(%)</t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</si>
  <si>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지출결의번호</t>
    </r>
    <phoneticPr fontId="2" type="noConversion"/>
  </si>
  <si>
    <t>세부사업 3</t>
    <phoneticPr fontId="2" type="noConversion"/>
  </si>
  <si>
    <r>
      <t xml:space="preserve">잔여액 </t>
    </r>
    <r>
      <rPr>
        <b/>
        <sz val="10"/>
        <rFont val="맑은 고딕"/>
        <family val="3"/>
        <charset val="129"/>
        <scheme val="minor"/>
      </rPr>
      <t>(①-②)</t>
    </r>
    <phoneticPr fontId="2" type="noConversion"/>
  </si>
  <si>
    <r>
      <t>실집행율</t>
    </r>
    <r>
      <rPr>
        <b/>
        <sz val="10"/>
        <rFont val="맑은 고딕"/>
        <family val="3"/>
        <charset val="129"/>
        <scheme val="minor"/>
      </rPr>
      <t xml:space="preserve"> (②/①)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</si>
  <si>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 xml:space="preserve">보조금 </t>
    </r>
    <r>
      <rPr>
        <b/>
        <sz val="10"/>
        <rFont val="맑은 고딕"/>
        <family val="3"/>
        <charset val="129"/>
      </rPr>
      <t>①</t>
    </r>
    <phoneticPr fontId="2" type="noConversion"/>
  </si>
  <si>
    <r>
      <t xml:space="preserve">실집행액 </t>
    </r>
    <r>
      <rPr>
        <b/>
        <sz val="10"/>
        <rFont val="맑은 고딕"/>
        <family val="3"/>
        <charset val="129"/>
        <scheme val="minor"/>
      </rPr>
      <t>②</t>
    </r>
    <phoneticPr fontId="2" type="noConversion"/>
  </si>
  <si>
    <r>
      <t xml:space="preserve">잔액 </t>
    </r>
    <r>
      <rPr>
        <b/>
        <sz val="10"/>
        <rFont val="맑은 고딕"/>
        <family val="3"/>
        <charset val="129"/>
      </rPr>
      <t>⑤
(③-④)</t>
    </r>
    <phoneticPr fontId="2" type="noConversion"/>
  </si>
  <si>
    <r>
      <t>잔액</t>
    </r>
    <r>
      <rPr>
        <b/>
        <sz val="10"/>
        <rFont val="맑은 고딕"/>
        <family val="3"/>
        <charset val="129"/>
      </rPr>
      <t>⑤
(③-④)</t>
    </r>
    <phoneticPr fontId="2" type="noConversion"/>
  </si>
  <si>
    <r>
      <t xml:space="preserve">실집행액 </t>
    </r>
    <r>
      <rPr>
        <b/>
        <sz val="10"/>
        <rFont val="맑은 고딕"/>
        <family val="3"/>
        <charset val="129"/>
      </rPr>
      <t>④</t>
    </r>
    <phoneticPr fontId="2" type="noConversion"/>
  </si>
  <si>
    <t>편성제한(%)</t>
    <phoneticPr fontId="2" type="noConversion"/>
  </si>
  <si>
    <r>
      <t xml:space="preserve">(당초)예산액
</t>
    </r>
    <r>
      <rPr>
        <b/>
        <sz val="10"/>
        <rFont val="맑은 고딕"/>
        <family val="3"/>
        <charset val="129"/>
        <scheme val="minor"/>
      </rPr>
      <t>①</t>
    </r>
    <phoneticPr fontId="2" type="noConversion"/>
  </si>
  <si>
    <r>
      <t xml:space="preserve">(변경)증감액
</t>
    </r>
    <r>
      <rPr>
        <b/>
        <sz val="10"/>
        <rFont val="맑은 고딕"/>
        <family val="3"/>
        <charset val="129"/>
        <scheme val="minor"/>
      </rPr>
      <t>②</t>
    </r>
    <phoneticPr fontId="2" type="noConversion"/>
  </si>
  <si>
    <r>
      <t xml:space="preserve">(최종)예산액 </t>
    </r>
    <r>
      <rPr>
        <b/>
        <sz val="10"/>
        <rFont val="맑은 고딕"/>
        <family val="3"/>
        <charset val="129"/>
        <scheme val="minor"/>
      </rPr>
      <t>③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0"/>
        <rFont val="맑은 고딕"/>
        <family val="3"/>
        <charset val="129"/>
        <scheme val="minor"/>
      </rPr>
      <t>(①-②)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</si>
  <si>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(당초)예산액</t>
    </r>
    <r>
      <rPr>
        <b/>
        <sz val="10"/>
        <rFont val="맑은 고딕"/>
        <family val="3"/>
        <charset val="129"/>
        <scheme val="minor"/>
      </rPr>
      <t>①</t>
    </r>
    <phoneticPr fontId="2" type="noConversion"/>
  </si>
  <si>
    <r>
      <rPr>
        <b/>
        <sz val="10"/>
        <color rgb="FFFF0000"/>
        <rFont val="맑은 고딕"/>
        <family val="3"/>
        <charset val="129"/>
        <scheme val="minor"/>
      </rPr>
      <t>*</t>
    </r>
    <r>
      <rPr>
        <b/>
        <sz val="10"/>
        <rFont val="맑은 고딕"/>
        <family val="3"/>
        <charset val="129"/>
        <scheme val="minor"/>
      </rPr>
      <t xml:space="preserve">(당초)예산액①, </t>
    </r>
    <r>
      <rPr>
        <b/>
        <sz val="10"/>
        <color rgb="FFFF0000"/>
        <rFont val="맑은 고딕"/>
        <family val="3"/>
        <charset val="129"/>
        <scheme val="minor"/>
      </rPr>
      <t>*</t>
    </r>
    <r>
      <rPr>
        <b/>
        <sz val="10"/>
        <rFont val="맑은 고딕"/>
        <family val="3"/>
        <charset val="129"/>
        <scheme val="minor"/>
      </rPr>
      <t>(변경)증감액② 외 모든 항목 자동입력 /</t>
    </r>
    <r>
      <rPr>
        <b/>
        <sz val="10"/>
        <color rgb="FFFF0000"/>
        <rFont val="맑은 고딕"/>
        <family val="3"/>
        <charset val="129"/>
        <scheme val="minor"/>
      </rPr>
      <t xml:space="preserve"> *</t>
    </r>
    <r>
      <rPr>
        <b/>
        <sz val="10"/>
        <rFont val="맑은 고딕"/>
        <family val="3"/>
        <charset val="129"/>
        <scheme val="minor"/>
      </rPr>
      <t>(변경)증감액② 예시 : 100원 증액시 100, 감액시 -100 숫자 입력</t>
    </r>
    <phoneticPr fontId="2" type="noConversion"/>
  </si>
  <si>
    <t>줄기</t>
  </si>
  <si>
    <t>유성꾸러기</t>
    <phoneticPr fontId="2" type="noConversion"/>
  </si>
  <si>
    <t>정OO</t>
    <phoneticPr fontId="2" type="noConversion"/>
  </si>
  <si>
    <t>123-234345-678</t>
    <phoneticPr fontId="2" type="noConversion"/>
  </si>
  <si>
    <t>234-567-78923</t>
    <phoneticPr fontId="2" type="noConversion"/>
  </si>
  <si>
    <r>
      <t>(최종)예산액</t>
    </r>
    <r>
      <rPr>
        <b/>
        <sz val="10"/>
        <rFont val="맑은 고딕"/>
        <family val="3"/>
        <charset val="129"/>
        <scheme val="minor"/>
      </rPr>
      <t>③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0"/>
        <rFont val="맑은 고딕"/>
        <family val="3"/>
        <charset val="129"/>
        <scheme val="minor"/>
      </rPr>
      <t>(①-②)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</si>
  <si>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(변경)증감액</t>
    </r>
    <r>
      <rPr>
        <b/>
        <sz val="10"/>
        <rFont val="맑은 고딕"/>
        <family val="3"/>
        <charset val="129"/>
        <scheme val="minor"/>
      </rPr>
      <t>②
(</t>
    </r>
    <r>
      <rPr>
        <b/>
        <sz val="9"/>
        <rFont val="맑은 고딕"/>
        <family val="3"/>
        <charset val="129"/>
        <scheme val="minor"/>
      </rPr>
      <t>숫자만 입력)</t>
    </r>
    <phoneticPr fontId="2" type="noConversion"/>
  </si>
  <si>
    <r>
      <t>실집행액</t>
    </r>
    <r>
      <rPr>
        <b/>
        <sz val="10"/>
        <rFont val="맑은 고딕"/>
        <family val="3"/>
        <charset val="129"/>
      </rPr>
      <t>④</t>
    </r>
    <phoneticPr fontId="2" type="noConversion"/>
  </si>
  <si>
    <r>
      <t xml:space="preserve">(최종)예산액 </t>
    </r>
    <r>
      <rPr>
        <b/>
        <sz val="10"/>
        <rFont val="맑은 고딕"/>
        <family val="3"/>
        <charset val="129"/>
        <scheme val="minor"/>
      </rPr>
      <t>③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0"/>
        <rFont val="맑은 고딕"/>
        <family val="3"/>
        <charset val="129"/>
        <scheme val="minor"/>
      </rPr>
      <t>(①-②)</t>
    </r>
    <phoneticPr fontId="2" type="noConversion"/>
  </si>
  <si>
    <t xml:space="preserve">← 실집행율 100% 이지만 일반활동비, 식비및다과비의 편성세목별 (최종)예산액③과 실집행액④ 다름. 수정필요 </t>
    <phoneticPr fontId="2" type="noConversion"/>
  </si>
  <si>
    <r>
      <rPr>
        <b/>
        <sz val="10"/>
        <color rgb="FFFF0000"/>
        <rFont val="맑은 고딕"/>
        <family val="3"/>
        <charset val="129"/>
        <scheme val="minor"/>
      </rPr>
      <t>*</t>
    </r>
    <r>
      <rPr>
        <b/>
        <sz val="10"/>
        <rFont val="맑은 고딕"/>
        <family val="3"/>
        <charset val="129"/>
        <scheme val="minor"/>
      </rPr>
      <t xml:space="preserve">(당초)예산액①, </t>
    </r>
    <r>
      <rPr>
        <b/>
        <sz val="10"/>
        <color rgb="FFFF0000"/>
        <rFont val="맑은 고딕"/>
        <family val="3"/>
        <charset val="129"/>
        <scheme val="minor"/>
      </rPr>
      <t>*</t>
    </r>
    <r>
      <rPr>
        <b/>
        <sz val="10"/>
        <rFont val="맑은 고딕"/>
        <family val="3"/>
        <charset val="129"/>
        <scheme val="minor"/>
      </rPr>
      <t>(변경)증감액② 외 모든 항목 자동입력 /</t>
    </r>
    <r>
      <rPr>
        <b/>
        <sz val="10"/>
        <color rgb="FFFF0000"/>
        <rFont val="맑은 고딕"/>
        <family val="3"/>
        <charset val="129"/>
        <scheme val="minor"/>
      </rPr>
      <t xml:space="preserve"> *</t>
    </r>
    <r>
      <rPr>
        <b/>
        <sz val="10"/>
        <rFont val="맑은 고딕"/>
        <family val="3"/>
        <charset val="129"/>
        <scheme val="minor"/>
      </rPr>
      <t>(변경)증감액② 예시 : 100원 증액시 100, 감액시 -100 숫자 입력</t>
    </r>
    <phoneticPr fontId="2" type="noConversion"/>
  </si>
  <si>
    <t>← 일반활동비 비중 20%(400,000원) 초과되어 빨강색 표시됨, 수정 필요</t>
    <phoneticPr fontId="2" type="noConversion"/>
  </si>
  <si>
    <r>
      <rPr>
        <b/>
        <u/>
        <sz val="10"/>
        <rFont val="맑은 고딕"/>
        <family val="3"/>
        <charset val="129"/>
        <scheme val="minor"/>
      </rPr>
      <t xml:space="preserve">※ 작성방법 : 노랑색 표시된 부분만 입력  </t>
    </r>
    <r>
      <rPr>
        <b/>
        <u/>
        <sz val="10"/>
        <color rgb="FF00B0F0"/>
        <rFont val="맑은 고딕"/>
        <family val="3"/>
        <charset val="129"/>
        <scheme val="minor"/>
      </rPr>
      <t xml:space="preserve">*(파랑) </t>
    </r>
    <r>
      <rPr>
        <b/>
        <u/>
        <sz val="10"/>
        <color theme="1"/>
        <rFont val="맑은 고딕"/>
        <family val="3"/>
        <charset val="129"/>
        <scheme val="minor"/>
      </rPr>
      <t xml:space="preserve">목록선택 / </t>
    </r>
    <r>
      <rPr>
        <b/>
        <u/>
        <sz val="10"/>
        <color rgb="FFFF0000"/>
        <rFont val="맑은 고딕"/>
        <family val="3"/>
        <charset val="129"/>
        <scheme val="minor"/>
      </rPr>
      <t>*(빨강)</t>
    </r>
    <r>
      <rPr>
        <b/>
        <u/>
        <sz val="10"/>
        <color theme="1"/>
        <rFont val="맑은 고딕"/>
        <family val="3"/>
        <charset val="129"/>
        <scheme val="minor"/>
      </rPr>
      <t xml:space="preserve"> 직접입력 / 그 외는 자동 입력되므로 직접입력 하지 않음
※ 금액 범위 초과 또는 수정확인 필요시 </t>
    </r>
    <r>
      <rPr>
        <b/>
        <u/>
        <sz val="10"/>
        <color rgb="FFFF0000"/>
        <rFont val="맑은 고딕"/>
        <family val="3"/>
        <charset val="129"/>
        <scheme val="minor"/>
      </rPr>
      <t>빨강색</t>
    </r>
    <r>
      <rPr>
        <b/>
        <u/>
        <sz val="10"/>
        <color rgb="FFC00000"/>
        <rFont val="맑은 고딕"/>
        <family val="3"/>
        <charset val="129"/>
        <scheme val="minor"/>
      </rPr>
      <t xml:space="preserve"> </t>
    </r>
    <r>
      <rPr>
        <b/>
        <u/>
        <sz val="10"/>
        <color theme="1"/>
        <rFont val="맑은 고딕"/>
        <family val="3"/>
        <charset val="129"/>
        <scheme val="minor"/>
      </rPr>
      <t>표시됨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</si>
  <si>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>카드번호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</si>
</sst>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[Blue]&quot;(증)&quot;\ \ &quot;₩&quot;\ \ \ #,##0;[Red]&quot;(감)&quot;\ \ &quot;₩&quot;\ \ \ #,##0"/>
  </numFmts>
  <fonts count="24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b/>
      <u/>
      <sz val="10"/>
      <color rgb="FF00B0F0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u/>
      <sz val="10"/>
      <color rgb="FFFF0000"/>
      <name val="맑은 고딕"/>
      <family val="3"/>
      <charset val="129"/>
      <scheme val="minor"/>
    </font>
    <font>
      <b/>
      <u/>
      <sz val="10"/>
      <color rgb="FFC0000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11"/>
      <color theme="8" tint="-0.249977111117893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 applyNumberFormat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3" fillId="0" borderId="0" xfId="0" applyFont="1" applyAlignment="1" applyProtection="1">
      <alignment horizontal="center" vertical="center"/>
      <protection locked="0"/>
    </xf>
    <xf numFmtId="0" fontId="13" fillId="7" borderId="37" xfId="0" applyFont="1" applyFill="1" applyBorder="1" applyAlignment="1" applyProtection="1">
      <alignment horizontal="center" vertical="center" wrapText="1"/>
      <protection locked="0"/>
    </xf>
    <xf numFmtId="0" fontId="10" fillId="0" borderId="37" xfId="0" applyFont="1" applyBorder="1" applyAlignment="1" applyProtection="1">
      <alignment horizontal="left" vertical="center" wrapText="1"/>
      <protection locked="0"/>
    </xf>
    <xf numFmtId="0" fontId="4" fillId="5" borderId="1" xfId="1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5" borderId="2" xfId="1" applyNumberFormat="1" applyFont="1" applyFill="1" applyBorder="1" applyAlignment="1" applyProtection="1">
      <alignment horizontal="center" vertical="center"/>
      <protection locked="0"/>
    </xf>
    <xf numFmtId="0" fontId="4" fillId="0" borderId="23" xfId="1" applyNumberFormat="1" applyFont="1" applyFill="1" applyBorder="1" applyAlignment="1" applyProtection="1">
      <alignment horizontal="center" vertical="center"/>
      <protection locked="0"/>
    </xf>
    <xf numFmtId="0" fontId="4" fillId="0" borderId="24" xfId="1" applyNumberFormat="1" applyFont="1" applyFill="1" applyBorder="1" applyAlignment="1" applyProtection="1">
      <alignment horizontal="center" vertical="center"/>
      <protection locked="0"/>
    </xf>
    <xf numFmtId="0" fontId="4" fillId="3" borderId="0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 vertical="center"/>
      <protection locked="0"/>
    </xf>
    <xf numFmtId="0" fontId="5" fillId="0" borderId="0" xfId="1" applyNumberFormat="1" applyFont="1" applyFill="1" applyBorder="1" applyAlignment="1" applyProtection="1">
      <alignment horizontal="center" vertical="center"/>
      <protection locked="0"/>
    </xf>
    <xf numFmtId="0" fontId="4" fillId="0" borderId="38" xfId="1" applyNumberFormat="1" applyFont="1" applyFill="1" applyBorder="1" applyAlignment="1" applyProtection="1">
      <alignment horizontal="center" vertical="center"/>
      <protection locked="0"/>
    </xf>
    <xf numFmtId="0" fontId="5" fillId="0" borderId="38" xfId="1" applyFont="1" applyFill="1" applyBorder="1" applyAlignment="1" applyProtection="1">
      <alignment horizontal="center" vertical="center"/>
      <protection locked="0"/>
    </xf>
    <xf numFmtId="0" fontId="4" fillId="0" borderId="0" xfId="1" applyNumberFormat="1" applyFont="1" applyFill="1" applyBorder="1" applyAlignment="1" applyProtection="1">
      <alignment horizontal="center" vertical="center"/>
      <protection locked="0"/>
    </xf>
    <xf numFmtId="0" fontId="4" fillId="2" borderId="17" xfId="1" applyNumberFormat="1" applyFont="1" applyFill="1" applyBorder="1" applyAlignment="1" applyProtection="1">
      <alignment horizontal="center" vertical="center"/>
      <protection locked="0"/>
    </xf>
    <xf numFmtId="0" fontId="4" fillId="2" borderId="18" xfId="1" applyNumberFormat="1" applyFont="1" applyFill="1" applyBorder="1" applyAlignment="1" applyProtection="1">
      <alignment horizontal="center" vertical="center"/>
      <protection locked="0"/>
    </xf>
    <xf numFmtId="0" fontId="4" fillId="2" borderId="19" xfId="1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right" vertical="center" wrapText="1"/>
      <protection locked="0"/>
    </xf>
    <xf numFmtId="9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3" fontId="3" fillId="0" borderId="0" xfId="0" applyNumberFormat="1" applyFont="1" applyFill="1" applyBorder="1" applyAlignment="1" applyProtection="1">
      <alignment horizontal="right" vertical="center" wrapText="1"/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9" fontId="3" fillId="0" borderId="0" xfId="0" applyNumberFormat="1" applyFont="1" applyFill="1" applyBorder="1" applyAlignment="1" applyProtection="1">
      <alignment horizontal="center" vertical="center"/>
      <protection locked="0"/>
    </xf>
    <xf numFmtId="0" fontId="4" fillId="5" borderId="2" xfId="1" applyNumberFormat="1" applyFont="1" applyFill="1" applyBorder="1" applyAlignment="1" applyProtection="1">
      <alignment horizontal="center" vertical="center"/>
    </xf>
    <xf numFmtId="14" fontId="5" fillId="0" borderId="16" xfId="0" applyNumberFormat="1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42" fontId="5" fillId="0" borderId="16" xfId="0" applyNumberFormat="1" applyFont="1" applyBorder="1" applyAlignment="1" applyProtection="1">
      <alignment horizontal="center" vertical="center"/>
      <protection locked="0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42" fontId="5" fillId="0" borderId="2" xfId="0" applyNumberFormat="1" applyFont="1" applyBorder="1" applyAlignment="1" applyProtection="1">
      <alignment horizontal="center" vertical="center"/>
      <protection locked="0"/>
    </xf>
    <xf numFmtId="176" fontId="5" fillId="0" borderId="16" xfId="0" applyNumberFormat="1" applyFont="1" applyBorder="1" applyAlignment="1" applyProtection="1">
      <alignment horizontal="center" vertical="center"/>
      <protection locked="0"/>
    </xf>
    <xf numFmtId="42" fontId="5" fillId="0" borderId="3" xfId="2" applyNumberFormat="1" applyFont="1" applyBorder="1" applyAlignment="1" applyProtection="1">
      <alignment vertical="center" wrapText="1"/>
      <protection locked="0"/>
    </xf>
    <xf numFmtId="42" fontId="5" fillId="0" borderId="21" xfId="2" applyNumberFormat="1" applyFont="1" applyBorder="1" applyAlignment="1" applyProtection="1">
      <alignment vertical="center" wrapText="1"/>
      <protection locked="0"/>
    </xf>
    <xf numFmtId="0" fontId="5" fillId="0" borderId="21" xfId="0" applyFont="1" applyBorder="1" applyAlignment="1" applyProtection="1">
      <alignment horizontal="center" vertical="center" wrapText="1"/>
    </xf>
    <xf numFmtId="9" fontId="5" fillId="3" borderId="16" xfId="0" applyNumberFormat="1" applyFont="1" applyFill="1" applyBorder="1" applyAlignment="1" applyProtection="1">
      <alignment horizontal="center" vertical="center" wrapText="1"/>
    </xf>
    <xf numFmtId="9" fontId="5" fillId="3" borderId="25" xfId="0" applyNumberFormat="1" applyFont="1" applyFill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9" fontId="5" fillId="3" borderId="2" xfId="0" applyNumberFormat="1" applyFont="1" applyFill="1" applyBorder="1" applyAlignment="1" applyProtection="1">
      <alignment horizontal="center" vertical="center" wrapText="1"/>
    </xf>
    <xf numFmtId="42" fontId="5" fillId="3" borderId="29" xfId="0" applyNumberFormat="1" applyFont="1" applyFill="1" applyBorder="1" applyAlignment="1" applyProtection="1">
      <alignment horizontal="center" vertical="center" wrapText="1"/>
    </xf>
    <xf numFmtId="9" fontId="5" fillId="0" borderId="2" xfId="0" applyNumberFormat="1" applyFont="1" applyBorder="1" applyAlignment="1" applyProtection="1">
      <alignment horizontal="center" vertical="center"/>
    </xf>
    <xf numFmtId="0" fontId="4" fillId="4" borderId="15" xfId="0" applyFont="1" applyFill="1" applyBorder="1" applyAlignment="1" applyProtection="1">
      <alignment horizontal="center" vertical="center" wrapText="1"/>
    </xf>
    <xf numFmtId="0" fontId="4" fillId="4" borderId="14" xfId="0" applyFont="1" applyFill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>
      <alignment horizontal="center" vertical="center"/>
    </xf>
    <xf numFmtId="0" fontId="4" fillId="0" borderId="14" xfId="0" applyFont="1" applyFill="1" applyBorder="1" applyAlignment="1" applyProtection="1">
      <alignment horizontal="center" vertical="center" wrapText="1"/>
    </xf>
    <xf numFmtId="0" fontId="5" fillId="0" borderId="14" xfId="0" applyFont="1" applyFill="1" applyBorder="1" applyAlignment="1" applyProtection="1">
      <alignment horizontal="center" vertical="center" wrapText="1"/>
    </xf>
    <xf numFmtId="0" fontId="5" fillId="0" borderId="10" xfId="0" applyFont="1" applyBorder="1" applyAlignment="1" applyProtection="1">
      <alignment horizontal="center" vertical="center" wrapText="1"/>
    </xf>
    <xf numFmtId="42" fontId="5" fillId="0" borderId="14" xfId="2" applyNumberFormat="1" applyFont="1" applyFill="1" applyBorder="1" applyAlignment="1" applyProtection="1">
      <alignment horizontal="right" vertical="center" wrapText="1"/>
    </xf>
    <xf numFmtId="42" fontId="4" fillId="4" borderId="14" xfId="0" applyNumberFormat="1" applyFont="1" applyFill="1" applyBorder="1" applyAlignment="1" applyProtection="1">
      <alignment horizontal="center" vertical="center" wrapText="1"/>
    </xf>
    <xf numFmtId="0" fontId="11" fillId="0" borderId="0" xfId="1" applyNumberFormat="1" applyFont="1" applyFill="1" applyBorder="1" applyAlignment="1" applyProtection="1">
      <alignment horizontal="left" vertical="center"/>
      <protection locked="0"/>
    </xf>
    <xf numFmtId="42" fontId="4" fillId="6" borderId="35" xfId="0" applyNumberFormat="1" applyFont="1" applyFill="1" applyBorder="1" applyAlignment="1" applyProtection="1">
      <alignment horizontal="center" vertical="center" wrapText="1"/>
    </xf>
    <xf numFmtId="0" fontId="4" fillId="2" borderId="18" xfId="1" applyNumberFormat="1" applyFont="1" applyFill="1" applyBorder="1" applyAlignment="1" applyProtection="1">
      <alignment horizontal="center" vertical="center"/>
    </xf>
    <xf numFmtId="0" fontId="4" fillId="2" borderId="18" xfId="1" applyNumberFormat="1" applyFont="1" applyFill="1" applyBorder="1" applyAlignment="1" applyProtection="1">
      <alignment horizontal="center" vertical="center" wrapText="1"/>
    </xf>
    <xf numFmtId="0" fontId="5" fillId="0" borderId="16" xfId="0" applyFont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center" vertical="center"/>
    </xf>
    <xf numFmtId="42" fontId="4" fillId="4" borderId="41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42" fontId="4" fillId="0" borderId="0" xfId="1" applyNumberFormat="1" applyFont="1" applyBorder="1" applyAlignment="1" applyProtection="1">
      <alignment horizontal="center" vertical="center"/>
      <protection locked="0"/>
    </xf>
    <xf numFmtId="42" fontId="4" fillId="0" borderId="0" xfId="1" applyNumberFormat="1" applyFont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42" fontId="5" fillId="3" borderId="2" xfId="0" applyNumberFormat="1" applyFont="1" applyFill="1" applyBorder="1" applyAlignment="1" applyProtection="1">
      <alignment horizontal="center" vertical="center" wrapText="1"/>
    </xf>
    <xf numFmtId="42" fontId="4" fillId="6" borderId="34" xfId="0" applyNumberFormat="1" applyFont="1" applyFill="1" applyBorder="1" applyAlignment="1" applyProtection="1">
      <alignment horizontal="center" vertical="center" wrapText="1"/>
    </xf>
    <xf numFmtId="42" fontId="5" fillId="0" borderId="44" xfId="2" applyNumberFormat="1" applyFont="1" applyFill="1" applyBorder="1" applyAlignment="1" applyProtection="1">
      <alignment horizontal="right" vertical="center" wrapText="1"/>
    </xf>
    <xf numFmtId="0" fontId="4" fillId="4" borderId="35" xfId="0" applyFont="1" applyFill="1" applyBorder="1" applyAlignment="1" applyProtection="1">
      <alignment horizontal="center" vertical="center" wrapText="1"/>
    </xf>
    <xf numFmtId="42" fontId="5" fillId="0" borderId="14" xfId="2" applyNumberFormat="1" applyFont="1" applyFill="1" applyBorder="1" applyAlignment="1" applyProtection="1">
      <alignment vertical="center" wrapText="1"/>
      <protection locked="0"/>
    </xf>
    <xf numFmtId="42" fontId="5" fillId="3" borderId="16" xfId="0" applyNumberFormat="1" applyFont="1" applyFill="1" applyBorder="1" applyAlignment="1" applyProtection="1">
      <alignment horizontal="center" vertical="center" wrapText="1"/>
    </xf>
    <xf numFmtId="42" fontId="5" fillId="3" borderId="42" xfId="0" applyNumberFormat="1" applyFont="1" applyFill="1" applyBorder="1" applyAlignment="1" applyProtection="1">
      <alignment horizontal="center" vertical="center" wrapText="1"/>
    </xf>
    <xf numFmtId="0" fontId="4" fillId="3" borderId="46" xfId="0" applyFont="1" applyFill="1" applyBorder="1" applyAlignment="1" applyProtection="1">
      <alignment horizontal="center" vertical="center" wrapText="1"/>
    </xf>
    <xf numFmtId="9" fontId="5" fillId="3" borderId="47" xfId="0" applyNumberFormat="1" applyFont="1" applyFill="1" applyBorder="1" applyAlignment="1" applyProtection="1">
      <alignment horizontal="center" vertical="center" wrapText="1"/>
    </xf>
    <xf numFmtId="42" fontId="5" fillId="3" borderId="48" xfId="0" applyNumberFormat="1" applyFont="1" applyFill="1" applyBorder="1" applyAlignment="1" applyProtection="1">
      <alignment horizontal="center" vertical="center" wrapText="1"/>
    </xf>
    <xf numFmtId="42" fontId="5" fillId="3" borderId="47" xfId="0" applyNumberFormat="1" applyFont="1" applyFill="1" applyBorder="1" applyAlignment="1" applyProtection="1">
      <alignment horizontal="center" vertical="center" wrapText="1"/>
    </xf>
    <xf numFmtId="0" fontId="4" fillId="4" borderId="34" xfId="0" applyFont="1" applyFill="1" applyBorder="1" applyAlignment="1" applyProtection="1">
      <alignment horizontal="center" vertical="center" wrapText="1"/>
    </xf>
    <xf numFmtId="42" fontId="5" fillId="0" borderId="49" xfId="2" applyNumberFormat="1" applyFont="1" applyFill="1" applyBorder="1" applyAlignment="1" applyProtection="1">
      <alignment horizontal="right" vertical="center" wrapText="1"/>
    </xf>
    <xf numFmtId="42" fontId="5" fillId="0" borderId="3" xfId="2" applyNumberFormat="1" applyFont="1" applyFill="1" applyBorder="1" applyAlignment="1" applyProtection="1">
      <alignment horizontal="right" vertical="center" wrapText="1"/>
    </xf>
    <xf numFmtId="42" fontId="5" fillId="0" borderId="10" xfId="2" applyNumberFormat="1" applyFont="1" applyFill="1" applyBorder="1" applyAlignment="1" applyProtection="1">
      <alignment horizontal="right" vertical="center" wrapText="1"/>
    </xf>
    <xf numFmtId="42" fontId="5" fillId="0" borderId="21" xfId="2" applyNumberFormat="1" applyFont="1" applyFill="1" applyBorder="1" applyAlignment="1" applyProtection="1">
      <alignment horizontal="right" vertical="center" wrapText="1"/>
    </xf>
    <xf numFmtId="0" fontId="4" fillId="4" borderId="51" xfId="0" applyFont="1" applyFill="1" applyBorder="1" applyAlignment="1" applyProtection="1">
      <alignment horizontal="center" vertical="center" wrapText="1"/>
    </xf>
    <xf numFmtId="42" fontId="5" fillId="0" borderId="49" xfId="2" applyNumberFormat="1" applyFont="1" applyBorder="1" applyAlignment="1" applyProtection="1">
      <alignment vertical="center" wrapText="1"/>
      <protection locked="0"/>
    </xf>
    <xf numFmtId="42" fontId="5" fillId="0" borderId="52" xfId="2" applyNumberFormat="1" applyFont="1" applyFill="1" applyBorder="1" applyAlignment="1" applyProtection="1">
      <alignment horizontal="right" vertical="center" wrapText="1"/>
    </xf>
    <xf numFmtId="42" fontId="5" fillId="0" borderId="54" xfId="2" applyNumberFormat="1" applyFont="1" applyFill="1" applyBorder="1" applyAlignment="1" applyProtection="1">
      <alignment horizontal="right" vertical="center" wrapText="1"/>
    </xf>
    <xf numFmtId="42" fontId="5" fillId="0" borderId="10" xfId="2" applyNumberFormat="1" applyFont="1" applyBorder="1" applyAlignment="1" applyProtection="1">
      <alignment vertical="center" wrapText="1"/>
      <protection locked="0"/>
    </xf>
    <xf numFmtId="42" fontId="5" fillId="0" borderId="56" xfId="2" applyNumberFormat="1" applyFont="1" applyFill="1" applyBorder="1" applyAlignment="1" applyProtection="1">
      <alignment horizontal="right" vertical="center" wrapText="1"/>
    </xf>
    <xf numFmtId="0" fontId="5" fillId="0" borderId="4" xfId="0" applyFont="1" applyBorder="1" applyAlignment="1" applyProtection="1">
      <alignment horizontal="center" vertical="center" wrapText="1"/>
    </xf>
    <xf numFmtId="42" fontId="5" fillId="0" borderId="4" xfId="2" applyNumberFormat="1" applyFont="1" applyBorder="1" applyAlignment="1" applyProtection="1">
      <alignment vertical="center" wrapText="1"/>
      <protection locked="0"/>
    </xf>
    <xf numFmtId="42" fontId="5" fillId="0" borderId="4" xfId="2" applyNumberFormat="1" applyFont="1" applyFill="1" applyBorder="1" applyAlignment="1" applyProtection="1">
      <alignment horizontal="right" vertical="center" wrapText="1"/>
    </xf>
    <xf numFmtId="42" fontId="5" fillId="0" borderId="58" xfId="2" applyNumberFormat="1" applyFont="1" applyFill="1" applyBorder="1" applyAlignment="1" applyProtection="1">
      <alignment horizontal="right" vertical="center" wrapText="1"/>
    </xf>
    <xf numFmtId="42" fontId="5" fillId="0" borderId="45" xfId="2" applyNumberFormat="1" applyFont="1" applyFill="1" applyBorder="1" applyAlignment="1" applyProtection="1">
      <alignment horizontal="right" vertical="center" wrapText="1"/>
    </xf>
    <xf numFmtId="0" fontId="5" fillId="0" borderId="49" xfId="0" applyFont="1" applyBorder="1" applyAlignment="1" applyProtection="1">
      <alignment horizontal="center" vertical="center" wrapText="1"/>
    </xf>
    <xf numFmtId="0" fontId="5" fillId="0" borderId="0" xfId="1" applyFont="1" applyFill="1" applyBorder="1" applyAlignment="1" applyProtection="1">
      <alignment horizontal="center" vertical="center"/>
      <protection locked="0"/>
    </xf>
    <xf numFmtId="0" fontId="4" fillId="4" borderId="39" xfId="0" applyFont="1" applyFill="1" applyBorder="1" applyAlignment="1" applyProtection="1">
      <alignment horizontal="center" vertical="center" wrapText="1"/>
    </xf>
    <xf numFmtId="0" fontId="4" fillId="4" borderId="33" xfId="0" applyFont="1" applyFill="1" applyBorder="1" applyAlignment="1" applyProtection="1">
      <alignment horizontal="center" vertical="center" wrapText="1"/>
    </xf>
    <xf numFmtId="42" fontId="5" fillId="3" borderId="61" xfId="0" applyNumberFormat="1" applyFont="1" applyFill="1" applyBorder="1" applyAlignment="1" applyProtection="1">
      <alignment horizontal="center" vertical="center" wrapText="1"/>
    </xf>
    <xf numFmtId="42" fontId="5" fillId="3" borderId="62" xfId="0" applyNumberFormat="1" applyFont="1" applyFill="1" applyBorder="1" applyAlignment="1" applyProtection="1">
      <alignment horizontal="center" vertical="center" wrapText="1"/>
    </xf>
    <xf numFmtId="42" fontId="5" fillId="3" borderId="63" xfId="0" applyNumberFormat="1" applyFont="1" applyFill="1" applyBorder="1" applyAlignment="1" applyProtection="1">
      <alignment horizontal="center" vertical="center" wrapText="1"/>
    </xf>
    <xf numFmtId="42" fontId="4" fillId="6" borderId="33" xfId="0" applyNumberFormat="1" applyFont="1" applyFill="1" applyBorder="1" applyAlignment="1" applyProtection="1">
      <alignment horizontal="center" vertical="center" wrapText="1"/>
    </xf>
    <xf numFmtId="42" fontId="5" fillId="3" borderId="34" xfId="0" applyNumberFormat="1" applyFont="1" applyFill="1" applyBorder="1" applyAlignment="1" applyProtection="1">
      <alignment horizontal="center" vertical="center" wrapText="1"/>
    </xf>
    <xf numFmtId="0" fontId="4" fillId="3" borderId="47" xfId="0" applyFont="1" applyFill="1" applyBorder="1" applyAlignment="1" applyProtection="1">
      <alignment horizontal="center" vertical="center" wrapText="1"/>
    </xf>
    <xf numFmtId="0" fontId="4" fillId="0" borderId="21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26" xfId="0" applyFont="1" applyBorder="1" applyAlignment="1" applyProtection="1">
      <alignment horizontal="center" vertical="center" wrapText="1"/>
    </xf>
    <xf numFmtId="0" fontId="4" fillId="3" borderId="27" xfId="0" applyFont="1" applyFill="1" applyBorder="1" applyAlignment="1" applyProtection="1">
      <alignment horizontal="center" vertical="center" wrapText="1"/>
    </xf>
    <xf numFmtId="0" fontId="4" fillId="0" borderId="28" xfId="0" applyFont="1" applyBorder="1" applyAlignment="1" applyProtection="1">
      <alignment horizontal="center" vertical="center" wrapText="1"/>
    </xf>
    <xf numFmtId="0" fontId="4" fillId="0" borderId="27" xfId="0" applyFont="1" applyBorder="1" applyAlignment="1" applyProtection="1">
      <alignment horizontal="center" vertical="center"/>
    </xf>
    <xf numFmtId="0" fontId="4" fillId="0" borderId="27" xfId="0" applyFont="1" applyBorder="1" applyAlignment="1" applyProtection="1">
      <alignment horizontal="center" vertical="center" wrapText="1"/>
    </xf>
    <xf numFmtId="0" fontId="4" fillId="0" borderId="20" xfId="0" applyFont="1" applyBorder="1" applyAlignment="1" applyProtection="1">
      <alignment horizontal="center" vertical="center" wrapText="1"/>
    </xf>
    <xf numFmtId="0" fontId="5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41" fontId="3" fillId="0" borderId="0" xfId="2" applyFont="1" applyAlignment="1" applyProtection="1">
      <alignment vertical="center"/>
      <protection locked="0"/>
    </xf>
    <xf numFmtId="41" fontId="10" fillId="0" borderId="0" xfId="2" applyFont="1" applyAlignment="1" applyProtection="1">
      <alignment vertical="center"/>
      <protection locked="0"/>
    </xf>
    <xf numFmtId="0" fontId="5" fillId="0" borderId="0" xfId="1" applyNumberFormat="1" applyFont="1" applyFill="1" applyBorder="1" applyAlignment="1" applyProtection="1">
      <alignment vertical="center"/>
      <protection locked="0"/>
    </xf>
    <xf numFmtId="42" fontId="3" fillId="0" borderId="35" xfId="0" applyNumberFormat="1" applyFont="1" applyBorder="1" applyAlignment="1" applyProtection="1">
      <alignment vertical="center"/>
      <protection locked="0"/>
    </xf>
    <xf numFmtId="42" fontId="3" fillId="0" borderId="60" xfId="0" applyNumberFormat="1" applyFont="1" applyBorder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  <protection locked="0"/>
    </xf>
    <xf numFmtId="41" fontId="12" fillId="0" borderId="0" xfId="2" applyFont="1" applyAlignment="1" applyProtection="1">
      <alignment vertical="center"/>
      <protection locked="0"/>
    </xf>
    <xf numFmtId="42" fontId="5" fillId="0" borderId="0" xfId="2" applyNumberFormat="1" applyFont="1" applyAlignment="1" applyProtection="1">
      <alignment vertical="center"/>
      <protection locked="0"/>
    </xf>
    <xf numFmtId="42" fontId="3" fillId="0" borderId="53" xfId="0" applyNumberFormat="1" applyFont="1" applyBorder="1" applyAlignment="1" applyProtection="1">
      <alignment vertical="center"/>
      <protection locked="0"/>
    </xf>
    <xf numFmtId="42" fontId="3" fillId="0" borderId="55" xfId="0" applyNumberFormat="1" applyFont="1" applyBorder="1" applyAlignment="1" applyProtection="1">
      <alignment vertical="center"/>
      <protection locked="0"/>
    </xf>
    <xf numFmtId="42" fontId="3" fillId="0" borderId="59" xfId="0" applyNumberFormat="1" applyFont="1" applyBorder="1" applyAlignment="1" applyProtection="1">
      <alignment vertical="center"/>
      <protection locked="0"/>
    </xf>
    <xf numFmtId="42" fontId="3" fillId="0" borderId="57" xfId="0" applyNumberFormat="1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42" fontId="3" fillId="0" borderId="0" xfId="0" applyNumberFormat="1" applyFont="1" applyAlignment="1" applyProtection="1">
      <alignment vertical="center"/>
      <protection locked="0"/>
    </xf>
    <xf numFmtId="177" fontId="5" fillId="0" borderId="14" xfId="2" applyNumberFormat="1" applyFont="1" applyFill="1" applyBorder="1" applyAlignment="1" applyProtection="1">
      <alignment horizontal="center" vertical="center" wrapText="1"/>
      <protection locked="0"/>
    </xf>
    <xf numFmtId="177" fontId="5" fillId="0" borderId="49" xfId="2" applyNumberFormat="1" applyFont="1" applyBorder="1" applyAlignment="1" applyProtection="1">
      <alignment horizontal="center" vertical="center" wrapText="1"/>
      <protection locked="0"/>
    </xf>
    <xf numFmtId="177" fontId="5" fillId="0" borderId="3" xfId="2" applyNumberFormat="1" applyFont="1" applyBorder="1" applyAlignment="1" applyProtection="1">
      <alignment horizontal="center" vertical="center" wrapText="1"/>
      <protection locked="0"/>
    </xf>
    <xf numFmtId="177" fontId="5" fillId="0" borderId="22" xfId="2" applyNumberFormat="1" applyFont="1" applyBorder="1" applyAlignment="1" applyProtection="1">
      <alignment horizontal="center" vertical="center" wrapText="1"/>
      <protection locked="0"/>
    </xf>
    <xf numFmtId="177" fontId="5" fillId="0" borderId="21" xfId="2" applyNumberFormat="1" applyFont="1" applyBorder="1" applyAlignment="1" applyProtection="1">
      <alignment horizontal="center" vertical="center" wrapText="1"/>
      <protection locked="0"/>
    </xf>
    <xf numFmtId="177" fontId="5" fillId="3" borderId="43" xfId="0" applyNumberFormat="1" applyFont="1" applyFill="1" applyBorder="1" applyAlignment="1" applyProtection="1">
      <alignment horizontal="center" vertical="center" wrapText="1"/>
    </xf>
    <xf numFmtId="177" fontId="5" fillId="3" borderId="25" xfId="0" applyNumberFormat="1" applyFont="1" applyFill="1" applyBorder="1" applyAlignment="1" applyProtection="1">
      <alignment horizontal="center" vertical="center" wrapText="1"/>
    </xf>
    <xf numFmtId="176" fontId="5" fillId="8" borderId="16" xfId="0" applyNumberFormat="1" applyFont="1" applyFill="1" applyBorder="1" applyAlignment="1" applyProtection="1">
      <alignment horizontal="center" vertical="center"/>
      <protection locked="0"/>
    </xf>
    <xf numFmtId="14" fontId="5" fillId="8" borderId="16" xfId="0" applyNumberFormat="1" applyFont="1" applyFill="1" applyBorder="1" applyAlignment="1" applyProtection="1">
      <alignment horizontal="center" vertical="center"/>
      <protection locked="0"/>
    </xf>
    <xf numFmtId="0" fontId="5" fillId="8" borderId="16" xfId="0" applyFont="1" applyFill="1" applyBorder="1" applyAlignment="1" applyProtection="1">
      <alignment horizontal="center" vertical="center"/>
      <protection locked="0"/>
    </xf>
    <xf numFmtId="42" fontId="5" fillId="8" borderId="16" xfId="0" applyNumberFormat="1" applyFont="1" applyFill="1" applyBorder="1" applyAlignment="1" applyProtection="1">
      <alignment horizontal="center" vertical="center"/>
      <protection locked="0"/>
    </xf>
    <xf numFmtId="14" fontId="5" fillId="8" borderId="2" xfId="0" applyNumberFormat="1" applyFont="1" applyFill="1" applyBorder="1" applyAlignment="1" applyProtection="1">
      <alignment horizontal="center"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42" fontId="5" fillId="8" borderId="2" xfId="0" applyNumberFormat="1" applyFont="1" applyFill="1" applyBorder="1" applyAlignment="1" applyProtection="1">
      <alignment horizontal="center" vertical="center"/>
      <protection locked="0"/>
    </xf>
    <xf numFmtId="42" fontId="5" fillId="8" borderId="14" xfId="2" applyNumberFormat="1" applyFont="1" applyFill="1" applyBorder="1" applyAlignment="1" applyProtection="1">
      <alignment vertical="center" wrapText="1"/>
      <protection locked="0"/>
    </xf>
    <xf numFmtId="177" fontId="5" fillId="8" borderId="14" xfId="2" applyNumberFormat="1" applyFont="1" applyFill="1" applyBorder="1" applyAlignment="1" applyProtection="1">
      <alignment horizontal="center" vertical="center" wrapText="1"/>
      <protection locked="0"/>
    </xf>
    <xf numFmtId="42" fontId="5" fillId="8" borderId="49" xfId="2" applyNumberFormat="1" applyFont="1" applyFill="1" applyBorder="1" applyAlignment="1" applyProtection="1">
      <alignment vertical="center" wrapText="1"/>
      <protection locked="0"/>
    </xf>
    <xf numFmtId="177" fontId="5" fillId="8" borderId="49" xfId="2" applyNumberFormat="1" applyFont="1" applyFill="1" applyBorder="1" applyAlignment="1" applyProtection="1">
      <alignment horizontal="center" vertical="center" wrapText="1"/>
      <protection locked="0"/>
    </xf>
    <xf numFmtId="42" fontId="5" fillId="8" borderId="3" xfId="2" applyNumberFormat="1" applyFont="1" applyFill="1" applyBorder="1" applyAlignment="1" applyProtection="1">
      <alignment vertical="center" wrapText="1"/>
      <protection locked="0"/>
    </xf>
    <xf numFmtId="177" fontId="5" fillId="8" borderId="3" xfId="2" applyNumberFormat="1" applyFont="1" applyFill="1" applyBorder="1" applyAlignment="1" applyProtection="1">
      <alignment horizontal="center" vertical="center" wrapText="1"/>
      <protection locked="0"/>
    </xf>
    <xf numFmtId="42" fontId="5" fillId="8" borderId="4" xfId="2" applyNumberFormat="1" applyFont="1" applyFill="1" applyBorder="1" applyAlignment="1" applyProtection="1">
      <alignment vertical="center" wrapText="1"/>
      <protection locked="0"/>
    </xf>
    <xf numFmtId="42" fontId="5" fillId="8" borderId="10" xfId="2" applyNumberFormat="1" applyFont="1" applyFill="1" applyBorder="1" applyAlignment="1" applyProtection="1">
      <alignment vertical="center" wrapText="1"/>
      <protection locked="0"/>
    </xf>
    <xf numFmtId="177" fontId="5" fillId="8" borderId="22" xfId="2" applyNumberFormat="1" applyFont="1" applyFill="1" applyBorder="1" applyAlignment="1" applyProtection="1">
      <alignment horizontal="center" vertical="center" wrapText="1"/>
      <protection locked="0"/>
    </xf>
    <xf numFmtId="42" fontId="5" fillId="8" borderId="21" xfId="2" applyNumberFormat="1" applyFont="1" applyFill="1" applyBorder="1" applyAlignment="1" applyProtection="1">
      <alignment vertical="center" wrapText="1"/>
      <protection locked="0"/>
    </xf>
    <xf numFmtId="177" fontId="5" fillId="8" borderId="21" xfId="2" applyNumberFormat="1" applyFont="1" applyFill="1" applyBorder="1" applyAlignment="1" applyProtection="1">
      <alignment horizontal="center" vertical="center" wrapText="1"/>
      <protection locked="0"/>
    </xf>
    <xf numFmtId="0" fontId="3" fillId="8" borderId="1" xfId="0" applyFont="1" applyFill="1" applyBorder="1" applyAlignment="1" applyProtection="1">
      <alignment horizontal="center" vertical="center"/>
      <protection locked="0"/>
    </xf>
    <xf numFmtId="42" fontId="3" fillId="0" borderId="35" xfId="0" applyNumberFormat="1" applyFont="1" applyBorder="1" applyAlignment="1" applyProtection="1">
      <alignment vertical="center"/>
    </xf>
    <xf numFmtId="42" fontId="3" fillId="0" borderId="60" xfId="0" applyNumberFormat="1" applyFont="1" applyBorder="1" applyAlignment="1" applyProtection="1">
      <alignment vertical="center"/>
    </xf>
    <xf numFmtId="42" fontId="3" fillId="0" borderId="53" xfId="0" applyNumberFormat="1" applyFont="1" applyBorder="1" applyAlignment="1" applyProtection="1">
      <alignment vertical="center"/>
    </xf>
    <xf numFmtId="42" fontId="3" fillId="0" borderId="55" xfId="0" applyNumberFormat="1" applyFont="1" applyBorder="1" applyAlignment="1" applyProtection="1">
      <alignment vertical="center"/>
    </xf>
    <xf numFmtId="42" fontId="3" fillId="0" borderId="59" xfId="0" applyNumberFormat="1" applyFont="1" applyBorder="1" applyAlignment="1" applyProtection="1">
      <alignment vertical="center"/>
    </xf>
    <xf numFmtId="42" fontId="3" fillId="0" borderId="57" xfId="0" applyNumberFormat="1" applyFont="1" applyBorder="1" applyAlignment="1" applyProtection="1">
      <alignment vertical="center"/>
    </xf>
    <xf numFmtId="0" fontId="4" fillId="4" borderId="34" xfId="0" applyFont="1" applyFill="1" applyBorder="1" applyAlignment="1" applyProtection="1">
      <alignment horizontal="center" vertical="center" wrapText="1"/>
      <protection locked="0"/>
    </xf>
    <xf numFmtId="0" fontId="4" fillId="2" borderId="18" xfId="1" applyNumberFormat="1" applyFont="1" applyFill="1" applyBorder="1" applyAlignment="1" applyProtection="1">
      <alignment horizontal="center" vertical="center" wrapText="1"/>
      <protection locked="0"/>
    </xf>
    <xf numFmtId="42" fontId="23" fillId="0" borderId="55" xfId="0" applyNumberFormat="1" applyFont="1" applyBorder="1" applyAlignment="1" applyProtection="1">
      <alignment vertical="center"/>
      <protection locked="0"/>
    </xf>
    <xf numFmtId="0" fontId="14" fillId="7" borderId="50" xfId="0" applyFont="1" applyFill="1" applyBorder="1" applyAlignment="1" applyProtection="1">
      <alignment horizontal="center" vertical="center"/>
      <protection locked="0"/>
    </xf>
    <xf numFmtId="0" fontId="14" fillId="7" borderId="0" xfId="0" applyFont="1" applyFill="1" applyBorder="1" applyAlignment="1" applyProtection="1">
      <alignment horizontal="center" vertical="center"/>
      <protection locked="0"/>
    </xf>
    <xf numFmtId="0" fontId="17" fillId="0" borderId="24" xfId="0" applyFont="1" applyBorder="1" applyAlignment="1" applyProtection="1">
      <alignment horizontal="left" vertical="center" wrapText="1"/>
      <protection locked="0"/>
    </xf>
    <xf numFmtId="0" fontId="10" fillId="0" borderId="24" xfId="0" applyFont="1" applyBorder="1" applyAlignment="1" applyProtection="1">
      <alignment horizontal="left" vertical="center" wrapText="1"/>
      <protection locked="0"/>
    </xf>
    <xf numFmtId="0" fontId="5" fillId="8" borderId="2" xfId="1" applyFont="1" applyFill="1" applyBorder="1" applyAlignment="1" applyProtection="1">
      <alignment horizontal="center" vertical="center"/>
      <protection locked="0"/>
    </xf>
    <xf numFmtId="0" fontId="5" fillId="0" borderId="24" xfId="1" applyFont="1" applyFill="1" applyBorder="1" applyAlignment="1" applyProtection="1">
      <alignment horizontal="center" vertical="center"/>
      <protection locked="0"/>
    </xf>
    <xf numFmtId="0" fontId="13" fillId="7" borderId="38" xfId="0" applyFont="1" applyFill="1" applyBorder="1" applyAlignment="1" applyProtection="1">
      <alignment horizontal="center" vertical="center" wrapText="1"/>
      <protection locked="0"/>
    </xf>
    <xf numFmtId="42" fontId="4" fillId="8" borderId="29" xfId="2" applyNumberFormat="1" applyFont="1" applyFill="1" applyBorder="1" applyAlignment="1" applyProtection="1">
      <alignment horizontal="center" vertical="center"/>
      <protection locked="0"/>
    </xf>
    <xf numFmtId="42" fontId="4" fillId="8" borderId="30" xfId="2" applyNumberFormat="1" applyFont="1" applyFill="1" applyBorder="1" applyAlignment="1" applyProtection="1">
      <alignment horizontal="center" vertical="center"/>
      <protection locked="0"/>
    </xf>
    <xf numFmtId="42" fontId="4" fillId="0" borderId="29" xfId="2" applyNumberFormat="1" applyFont="1" applyBorder="1" applyAlignment="1" applyProtection="1">
      <alignment horizontal="center" vertical="center"/>
    </xf>
    <xf numFmtId="42" fontId="4" fillId="0" borderId="30" xfId="2" applyNumberFormat="1" applyFont="1" applyBorder="1" applyAlignment="1" applyProtection="1">
      <alignment horizontal="center" vertical="center"/>
    </xf>
    <xf numFmtId="42" fontId="4" fillId="0" borderId="0" xfId="1" applyNumberFormat="1" applyFont="1" applyBorder="1" applyAlignment="1" applyProtection="1">
      <alignment horizontal="center" vertical="center"/>
      <protection locked="0"/>
    </xf>
    <xf numFmtId="9" fontId="4" fillId="0" borderId="29" xfId="3" applyFont="1" applyBorder="1" applyAlignment="1" applyProtection="1">
      <alignment horizontal="center" vertical="center"/>
    </xf>
    <xf numFmtId="9" fontId="4" fillId="0" borderId="30" xfId="3" applyFont="1" applyBorder="1" applyAlignment="1" applyProtection="1">
      <alignment horizontal="center" vertical="center"/>
    </xf>
    <xf numFmtId="0" fontId="13" fillId="7" borderId="40" xfId="0" applyFont="1" applyFill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</xf>
    <xf numFmtId="0" fontId="10" fillId="0" borderId="40" xfId="0" applyFont="1" applyBorder="1" applyAlignment="1" applyProtection="1">
      <alignment horizontal="left" vertical="center" wrapText="1"/>
      <protection locked="0"/>
    </xf>
    <xf numFmtId="0" fontId="4" fillId="3" borderId="32" xfId="0" applyFont="1" applyFill="1" applyBorder="1" applyAlignment="1" applyProtection="1">
      <alignment horizontal="center" vertical="center" wrapText="1"/>
    </xf>
    <xf numFmtId="0" fontId="4" fillId="3" borderId="36" xfId="0" applyFont="1" applyFill="1" applyBorder="1" applyAlignment="1" applyProtection="1">
      <alignment horizontal="center" vertical="center" wrapText="1"/>
    </xf>
    <xf numFmtId="0" fontId="4" fillId="6" borderId="11" xfId="0" applyFont="1" applyFill="1" applyBorder="1" applyAlignment="1" applyProtection="1">
      <alignment horizontal="center" vertical="center" wrapText="1"/>
    </xf>
    <xf numFmtId="0" fontId="4" fillId="6" borderId="12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0" fontId="12" fillId="0" borderId="40" xfId="0" applyFont="1" applyBorder="1" applyAlignment="1" applyProtection="1">
      <alignment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</xf>
    <xf numFmtId="0" fontId="4" fillId="0" borderId="8" xfId="0" applyFont="1" applyBorder="1" applyAlignment="1" applyProtection="1">
      <alignment horizontal="center" vertical="center" wrapText="1"/>
    </xf>
    <xf numFmtId="0" fontId="4" fillId="0" borderId="31" xfId="0" applyFont="1" applyBorder="1" applyAlignment="1" applyProtection="1">
      <alignment horizontal="center" vertical="center" wrapText="1"/>
    </xf>
    <xf numFmtId="0" fontId="4" fillId="0" borderId="9" xfId="0" applyFont="1" applyBorder="1" applyAlignment="1" applyProtection="1">
      <alignment horizontal="center" vertical="center" wrapText="1"/>
    </xf>
    <xf numFmtId="0" fontId="4" fillId="4" borderId="11" xfId="0" applyFont="1" applyFill="1" applyBorder="1" applyAlignment="1" applyProtection="1">
      <alignment horizontal="center" vertical="center" wrapText="1"/>
    </xf>
    <xf numFmtId="0" fontId="4" fillId="4" borderId="12" xfId="0" applyFont="1" applyFill="1" applyBorder="1" applyAlignment="1" applyProtection="1">
      <alignment horizontal="center" vertical="center" wrapText="1"/>
    </xf>
    <xf numFmtId="0" fontId="4" fillId="4" borderId="13" xfId="0" applyFont="1" applyFill="1" applyBorder="1" applyAlignment="1" applyProtection="1">
      <alignment horizontal="center" vertical="center" wrapText="1"/>
    </xf>
    <xf numFmtId="0" fontId="5" fillId="0" borderId="2" xfId="1" applyFont="1" applyBorder="1" applyAlignment="1" applyProtection="1">
      <alignment horizontal="center" vertical="center"/>
      <protection locked="0"/>
    </xf>
    <xf numFmtId="42" fontId="4" fillId="0" borderId="29" xfId="2" applyNumberFormat="1" applyFont="1" applyBorder="1" applyAlignment="1" applyProtection="1">
      <alignment horizontal="center" vertical="center"/>
      <protection locked="0"/>
    </xf>
    <xf numFmtId="42" fontId="4" fillId="0" borderId="30" xfId="2" applyNumberFormat="1" applyFont="1" applyBorder="1" applyAlignment="1" applyProtection="1">
      <alignment horizontal="center" vertical="center"/>
      <protection locked="0"/>
    </xf>
  </cellXfs>
  <cellStyles count="4">
    <cellStyle name="백분율" xfId="3" builtinId="5"/>
    <cellStyle name="쉼표 [0]" xfId="2" builtinId="6"/>
    <cellStyle name="표준" xfId="0" builtinId="0"/>
    <cellStyle name="표준 2" xfId="1"/>
  </cellStyles>
  <dxfs count="2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1</xdr:row>
      <xdr:rowOff>66676</xdr:rowOff>
    </xdr:from>
    <xdr:to>
      <xdr:col>1</xdr:col>
      <xdr:colOff>876300</xdr:colOff>
      <xdr:row>1</xdr:row>
      <xdr:rowOff>638175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276226"/>
          <a:ext cx="571499" cy="571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1</xdr:row>
      <xdr:rowOff>66676</xdr:rowOff>
    </xdr:from>
    <xdr:to>
      <xdr:col>1</xdr:col>
      <xdr:colOff>876300</xdr:colOff>
      <xdr:row>1</xdr:row>
      <xdr:rowOff>638175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276226"/>
          <a:ext cx="571499" cy="571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07CF7E-80AE-4DE4-A7DE-362861D9E6F4}">
  <we:reference id="wa104178772" version="1.0.0.0" store="ko-KR" storeType="OMEX"/>
  <we:alternateReferences>
    <we:reference id="WA104178772" version="1.0.0.0" store="WA10417877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05"/>
  <sheetViews>
    <sheetView showGridLines="0" showZeros="0" tabSelected="1" zoomScaleNormal="100" workbookViewId="0">
      <selection activeCell="J13" sqref="J13"/>
    </sheetView>
  </sheetViews>
  <sheetFormatPr defaultRowHeight="16.5"/>
  <cols>
    <col min="1" max="1" width="2.875" style="106" customWidth="1"/>
    <col min="2" max="2" width="15.625" style="106" customWidth="1"/>
    <col min="3" max="3" width="17.375" style="106" customWidth="1"/>
    <col min="4" max="4" width="16" style="106" customWidth="1"/>
    <col min="5" max="5" width="15.625" style="1" customWidth="1"/>
    <col min="6" max="7" width="15.625" style="106" customWidth="1"/>
    <col min="8" max="8" width="15.625" style="1" customWidth="1"/>
    <col min="9" max="17" width="15.625" style="106" customWidth="1"/>
    <col min="18" max="18" width="46.875" style="106" customWidth="1"/>
    <col min="19" max="19" width="41" style="106" customWidth="1"/>
    <col min="20" max="16384" width="9" style="106"/>
  </cols>
  <sheetData>
    <row r="1" spans="2:11">
      <c r="B1" s="105"/>
    </row>
    <row r="2" spans="2:11" ht="54.75" customHeight="1">
      <c r="B2" s="107"/>
      <c r="C2" s="157" t="s">
        <v>42</v>
      </c>
      <c r="D2" s="158"/>
      <c r="E2" s="158"/>
      <c r="F2" s="158"/>
      <c r="G2" s="158"/>
      <c r="H2" s="158"/>
      <c r="K2" s="108"/>
    </row>
    <row r="3" spans="2:11" ht="48" customHeight="1">
      <c r="B3" s="159" t="s">
        <v>122</v>
      </c>
      <c r="C3" s="160"/>
      <c r="D3" s="160"/>
      <c r="E3" s="160"/>
      <c r="F3" s="160"/>
      <c r="G3" s="160"/>
      <c r="K3" s="108"/>
    </row>
    <row r="4" spans="2:11" ht="20.100000000000001" customHeight="1">
      <c r="B4" s="2" t="s">
        <v>38</v>
      </c>
      <c r="C4" s="109" t="s">
        <v>89</v>
      </c>
      <c r="D4" s="3"/>
      <c r="E4" s="3"/>
      <c r="F4" s="3"/>
      <c r="G4" s="3"/>
      <c r="K4" s="108"/>
    </row>
    <row r="5" spans="2:11" ht="24.95" customHeight="1">
      <c r="B5" s="4" t="s">
        <v>31</v>
      </c>
      <c r="C5" s="147"/>
      <c r="D5" s="4" t="s">
        <v>44</v>
      </c>
      <c r="E5" s="147"/>
      <c r="F5" s="4" t="s">
        <v>33</v>
      </c>
      <c r="G5" s="147"/>
      <c r="I5" s="110"/>
      <c r="J5" s="1"/>
      <c r="K5" s="108"/>
    </row>
    <row r="6" spans="2:11" s="110" customFormat="1" ht="24.95" customHeight="1">
      <c r="B6" s="6" t="s">
        <v>32</v>
      </c>
      <c r="C6" s="161"/>
      <c r="D6" s="161"/>
      <c r="E6" s="6" t="s">
        <v>123</v>
      </c>
      <c r="F6" s="161"/>
      <c r="G6" s="161"/>
      <c r="H6" s="11"/>
    </row>
    <row r="7" spans="2:11" s="110" customFormat="1" ht="15" customHeight="1">
      <c r="B7" s="7"/>
      <c r="C7" s="162"/>
      <c r="D7" s="162"/>
      <c r="E7" s="8"/>
      <c r="F7" s="162"/>
      <c r="G7" s="162"/>
      <c r="H7" s="9"/>
      <c r="I7" s="10"/>
      <c r="J7" s="11"/>
    </row>
    <row r="8" spans="2:11" s="110" customFormat="1" ht="20.100000000000001" customHeight="1">
      <c r="B8" s="163" t="s">
        <v>37</v>
      </c>
      <c r="C8" s="163"/>
      <c r="D8" s="109" t="s">
        <v>40</v>
      </c>
      <c r="E8" s="12"/>
      <c r="F8" s="13"/>
      <c r="G8" s="13"/>
      <c r="H8" s="9"/>
      <c r="I8" s="10"/>
      <c r="J8" s="11"/>
    </row>
    <row r="9" spans="2:11" s="110" customFormat="1" ht="24.95" customHeight="1">
      <c r="B9" s="6" t="s">
        <v>99</v>
      </c>
      <c r="C9" s="164"/>
      <c r="D9" s="165"/>
      <c r="E9" s="24" t="s">
        <v>100</v>
      </c>
      <c r="F9" s="166">
        <f>SUM(P30:P220)</f>
        <v>0</v>
      </c>
      <c r="G9" s="167"/>
      <c r="H9" s="14"/>
      <c r="I9" s="168"/>
      <c r="J9" s="168"/>
    </row>
    <row r="10" spans="2:11" s="110" customFormat="1" ht="24.95" customHeight="1">
      <c r="B10" s="24" t="s">
        <v>97</v>
      </c>
      <c r="C10" s="166">
        <f>C9-F9</f>
        <v>0</v>
      </c>
      <c r="D10" s="167"/>
      <c r="E10" s="24" t="s">
        <v>98</v>
      </c>
      <c r="F10" s="169" t="e">
        <f>F9/C9</f>
        <v>#DIV/0!</v>
      </c>
      <c r="G10" s="170"/>
      <c r="H10" s="49"/>
      <c r="I10" s="58"/>
      <c r="J10" s="58"/>
    </row>
    <row r="11" spans="2:11" s="110" customFormat="1" ht="15" customHeight="1">
      <c r="B11" s="8"/>
      <c r="C11" s="162"/>
      <c r="D11" s="162"/>
      <c r="E11" s="8"/>
      <c r="F11" s="162"/>
      <c r="G11" s="162"/>
      <c r="H11" s="9"/>
      <c r="I11" s="10"/>
      <c r="J11" s="11"/>
    </row>
    <row r="12" spans="2:11" ht="21.75" customHeight="1" thickBot="1">
      <c r="B12" s="163" t="s">
        <v>39</v>
      </c>
      <c r="C12" s="163"/>
      <c r="D12" s="174" t="s">
        <v>41</v>
      </c>
      <c r="E12" s="174"/>
      <c r="F12" s="3"/>
      <c r="G12" s="3"/>
      <c r="K12" s="108"/>
    </row>
    <row r="13" spans="2:11" s="110" customFormat="1" ht="35.25" customHeight="1" thickBot="1">
      <c r="B13" s="41" t="s">
        <v>90</v>
      </c>
      <c r="C13" s="42" t="s">
        <v>91</v>
      </c>
      <c r="D13" s="42" t="s">
        <v>104</v>
      </c>
      <c r="E13" s="76" t="s">
        <v>19</v>
      </c>
      <c r="F13" s="71" t="s">
        <v>105</v>
      </c>
      <c r="G13" s="89" t="s">
        <v>106</v>
      </c>
      <c r="H13" s="90" t="s">
        <v>107</v>
      </c>
      <c r="I13" s="71" t="s">
        <v>103</v>
      </c>
      <c r="J13" s="63" t="s">
        <v>101</v>
      </c>
    </row>
    <row r="14" spans="2:11" s="110" customFormat="1" ht="18" customHeight="1" thickBot="1">
      <c r="B14" s="67" t="s">
        <v>6</v>
      </c>
      <c r="C14" s="96" t="s">
        <v>92</v>
      </c>
      <c r="D14" s="68">
        <f>IF(C14="일반활동비",20%)</f>
        <v>0.2</v>
      </c>
      <c r="E14" s="69">
        <f>$C$9*D14</f>
        <v>0</v>
      </c>
      <c r="F14" s="70">
        <f>SUMIF($D$31:$D$64,C14,$E$31:$E$64)</f>
        <v>0</v>
      </c>
      <c r="G14" s="127">
        <f>SUMIF($D$31:$D$64,C14,$F$31:$F$64)</f>
        <v>0</v>
      </c>
      <c r="H14" s="91">
        <f t="shared" ref="H14:H25" si="0">F14+G14</f>
        <v>0</v>
      </c>
      <c r="I14" s="95">
        <f>SUMIF($D$31:$D$64,C14,$H$31:$H$64)</f>
        <v>0</v>
      </c>
      <c r="J14" s="148">
        <f>H14-I14</f>
        <v>0</v>
      </c>
    </row>
    <row r="15" spans="2:11" s="110" customFormat="1" ht="15.95" customHeight="1">
      <c r="B15" s="175" t="s">
        <v>5</v>
      </c>
      <c r="C15" s="97" t="s">
        <v>93</v>
      </c>
      <c r="D15" s="35"/>
      <c r="E15" s="36"/>
      <c r="F15" s="65">
        <f>SUMIF($D$31:$D$64,C15,$E$31:$E$64)</f>
        <v>0</v>
      </c>
      <c r="G15" s="128">
        <f>SUMIF($D$31:$D$64,C15,$F$31:$F$64)</f>
        <v>0</v>
      </c>
      <c r="H15" s="92">
        <f t="shared" si="0"/>
        <v>0</v>
      </c>
      <c r="I15" s="65">
        <f t="shared" ref="I15:I25" si="1">SUMIF($D$31:$D$64,C15,$H$31:$H$64)</f>
        <v>0</v>
      </c>
      <c r="J15" s="149">
        <f>H15-I15</f>
        <v>0</v>
      </c>
    </row>
    <row r="16" spans="2:11" s="110" customFormat="1" ht="15.95" customHeight="1">
      <c r="B16" s="175"/>
      <c r="C16" s="98" t="s">
        <v>8</v>
      </c>
      <c r="D16" s="35"/>
      <c r="E16" s="36"/>
      <c r="F16" s="60">
        <f>SUMIF($D$31:$D$64,C16,$E$31:$E$64)</f>
        <v>0</v>
      </c>
      <c r="G16" s="128">
        <f t="shared" ref="G16:G25" si="2">SUMIF($D$31:$D$64,C16,$F$31:$F$64)</f>
        <v>0</v>
      </c>
      <c r="H16" s="93">
        <f t="shared" si="0"/>
        <v>0</v>
      </c>
      <c r="I16" s="60">
        <f t="shared" si="1"/>
        <v>0</v>
      </c>
      <c r="J16" s="149">
        <f t="shared" ref="J16:J25" si="3">H16-I16</f>
        <v>0</v>
      </c>
    </row>
    <row r="17" spans="2:19" s="110" customFormat="1" ht="15.95" customHeight="1">
      <c r="B17" s="175"/>
      <c r="C17" s="98" t="s">
        <v>9</v>
      </c>
      <c r="D17" s="35"/>
      <c r="E17" s="36"/>
      <c r="F17" s="60">
        <f>SUMIF($D$31:$D$64,C17,$E$31:$E$64)</f>
        <v>0</v>
      </c>
      <c r="G17" s="128">
        <f t="shared" si="2"/>
        <v>0</v>
      </c>
      <c r="H17" s="93">
        <f t="shared" si="0"/>
        <v>0</v>
      </c>
      <c r="I17" s="60">
        <f t="shared" si="1"/>
        <v>0</v>
      </c>
      <c r="J17" s="149">
        <f>H17-I17</f>
        <v>0</v>
      </c>
    </row>
    <row r="18" spans="2:19" s="110" customFormat="1" ht="15.95" customHeight="1">
      <c r="B18" s="175"/>
      <c r="C18" s="99" t="s">
        <v>10</v>
      </c>
      <c r="D18" s="35"/>
      <c r="E18" s="36"/>
      <c r="F18" s="60">
        <f>SUMIF($D$31:$D$64,C18,$E$31:$E$64)</f>
        <v>0</v>
      </c>
      <c r="G18" s="128">
        <f t="shared" si="2"/>
        <v>0</v>
      </c>
      <c r="H18" s="93">
        <f t="shared" si="0"/>
        <v>0</v>
      </c>
      <c r="I18" s="60">
        <f t="shared" si="1"/>
        <v>0</v>
      </c>
      <c r="J18" s="149">
        <f t="shared" si="3"/>
        <v>0</v>
      </c>
    </row>
    <row r="19" spans="2:19" s="110" customFormat="1" ht="15.95" customHeight="1">
      <c r="B19" s="175"/>
      <c r="C19" s="100" t="s">
        <v>11</v>
      </c>
      <c r="D19" s="38">
        <f>IF(C9&lt;2000000,40%,30%)</f>
        <v>0.4</v>
      </c>
      <c r="E19" s="39">
        <f>$C$9*D19</f>
        <v>0</v>
      </c>
      <c r="F19" s="60">
        <f t="shared" ref="F19:F25" si="4">SUMIF($D$31:$D$64,C19,$E$31:$E$64)</f>
        <v>0</v>
      </c>
      <c r="G19" s="128">
        <f t="shared" si="2"/>
        <v>0</v>
      </c>
      <c r="H19" s="93">
        <f t="shared" si="0"/>
        <v>0</v>
      </c>
      <c r="I19" s="60">
        <f t="shared" si="1"/>
        <v>0</v>
      </c>
      <c r="J19" s="149">
        <f t="shared" si="3"/>
        <v>0</v>
      </c>
    </row>
    <row r="20" spans="2:19" s="110" customFormat="1" ht="15.95" customHeight="1">
      <c r="B20" s="175"/>
      <c r="C20" s="99" t="s">
        <v>12</v>
      </c>
      <c r="D20" s="40">
        <f>IF(C20="회의비",20%)</f>
        <v>0.2</v>
      </c>
      <c r="E20" s="39">
        <f>$C$9*D20</f>
        <v>0</v>
      </c>
      <c r="F20" s="60">
        <f t="shared" si="4"/>
        <v>0</v>
      </c>
      <c r="G20" s="128">
        <f>SUMIF($D$31:$D$64,C20,$F$31:$F$64)</f>
        <v>0</v>
      </c>
      <c r="H20" s="93">
        <f t="shared" si="0"/>
        <v>0</v>
      </c>
      <c r="I20" s="60">
        <f t="shared" si="1"/>
        <v>0</v>
      </c>
      <c r="J20" s="149">
        <f t="shared" si="3"/>
        <v>0</v>
      </c>
    </row>
    <row r="21" spans="2:19" s="110" customFormat="1" ht="15.95" customHeight="1">
      <c r="B21" s="175"/>
      <c r="C21" s="99" t="s">
        <v>13</v>
      </c>
      <c r="D21" s="35"/>
      <c r="E21" s="36"/>
      <c r="F21" s="60">
        <f t="shared" si="4"/>
        <v>0</v>
      </c>
      <c r="G21" s="128">
        <f t="shared" si="2"/>
        <v>0</v>
      </c>
      <c r="H21" s="93">
        <f t="shared" si="0"/>
        <v>0</v>
      </c>
      <c r="I21" s="60">
        <f t="shared" si="1"/>
        <v>0</v>
      </c>
      <c r="J21" s="149">
        <f t="shared" si="3"/>
        <v>0</v>
      </c>
    </row>
    <row r="22" spans="2:19" s="110" customFormat="1" ht="15.95" customHeight="1">
      <c r="B22" s="175"/>
      <c r="C22" s="101" t="s">
        <v>28</v>
      </c>
      <c r="D22" s="35"/>
      <c r="E22" s="36"/>
      <c r="F22" s="60">
        <f t="shared" si="4"/>
        <v>0</v>
      </c>
      <c r="G22" s="128">
        <f t="shared" si="2"/>
        <v>0</v>
      </c>
      <c r="H22" s="93">
        <f t="shared" si="0"/>
        <v>0</v>
      </c>
      <c r="I22" s="60">
        <f t="shared" si="1"/>
        <v>0</v>
      </c>
      <c r="J22" s="149">
        <f t="shared" si="3"/>
        <v>0</v>
      </c>
    </row>
    <row r="23" spans="2:19" s="110" customFormat="1" ht="15.95" customHeight="1">
      <c r="B23" s="175"/>
      <c r="C23" s="102" t="s">
        <v>15</v>
      </c>
      <c r="D23" s="40">
        <f>IF(C23="공연비",10%)</f>
        <v>0.1</v>
      </c>
      <c r="E23" s="39">
        <f>$C$9*D23</f>
        <v>0</v>
      </c>
      <c r="F23" s="60">
        <f t="shared" si="4"/>
        <v>0</v>
      </c>
      <c r="G23" s="128">
        <f t="shared" si="2"/>
        <v>0</v>
      </c>
      <c r="H23" s="93">
        <f t="shared" si="0"/>
        <v>0</v>
      </c>
      <c r="I23" s="60">
        <f t="shared" si="1"/>
        <v>0</v>
      </c>
      <c r="J23" s="149">
        <f t="shared" si="3"/>
        <v>0</v>
      </c>
    </row>
    <row r="24" spans="2:19" s="110" customFormat="1" ht="15.95" customHeight="1">
      <c r="B24" s="175"/>
      <c r="C24" s="103" t="s">
        <v>16</v>
      </c>
      <c r="D24" s="35"/>
      <c r="E24" s="36"/>
      <c r="F24" s="60">
        <f t="shared" si="4"/>
        <v>0</v>
      </c>
      <c r="G24" s="128">
        <f t="shared" si="2"/>
        <v>0</v>
      </c>
      <c r="H24" s="93">
        <f t="shared" si="0"/>
        <v>0</v>
      </c>
      <c r="I24" s="60">
        <f t="shared" si="1"/>
        <v>0</v>
      </c>
      <c r="J24" s="149">
        <f t="shared" si="3"/>
        <v>0</v>
      </c>
    </row>
    <row r="25" spans="2:19" s="110" customFormat="1" ht="18" customHeight="1" thickBot="1">
      <c r="B25" s="176"/>
      <c r="C25" s="104" t="s">
        <v>17</v>
      </c>
      <c r="D25" s="35"/>
      <c r="E25" s="36"/>
      <c r="F25" s="60">
        <f t="shared" si="4"/>
        <v>0</v>
      </c>
      <c r="G25" s="128">
        <f t="shared" si="2"/>
        <v>0</v>
      </c>
      <c r="H25" s="93">
        <f t="shared" si="0"/>
        <v>0</v>
      </c>
      <c r="I25" s="66">
        <f t="shared" si="1"/>
        <v>0</v>
      </c>
      <c r="J25" s="149">
        <f t="shared" si="3"/>
        <v>0</v>
      </c>
    </row>
    <row r="26" spans="2:19" s="110" customFormat="1" ht="24" customHeight="1" thickBot="1">
      <c r="B26" s="177" t="s">
        <v>29</v>
      </c>
      <c r="C26" s="178"/>
      <c r="D26" s="178"/>
      <c r="E26" s="178"/>
      <c r="F26" s="61">
        <f>SUM(F14:F25)</f>
        <v>0</v>
      </c>
      <c r="G26" s="61">
        <f>SUM(G14:G25)</f>
        <v>0</v>
      </c>
      <c r="H26" s="94">
        <f>SUM(H14:H25)</f>
        <v>0</v>
      </c>
      <c r="I26" s="61">
        <f>SUM(I14:I25)</f>
        <v>0</v>
      </c>
      <c r="J26" s="50">
        <f>SUM(J14:J25)</f>
        <v>0</v>
      </c>
    </row>
    <row r="27" spans="2:19" s="110" customFormat="1" ht="15" customHeight="1">
      <c r="B27" s="8"/>
      <c r="C27" s="162"/>
      <c r="D27" s="162"/>
      <c r="E27" s="8"/>
      <c r="F27" s="162"/>
      <c r="G27" s="162"/>
      <c r="H27" s="9"/>
      <c r="I27" s="10"/>
      <c r="J27" s="11"/>
    </row>
    <row r="28" spans="2:19" s="110" customFormat="1" ht="15" customHeight="1">
      <c r="B28" s="14"/>
      <c r="C28" s="88"/>
      <c r="D28" s="88"/>
      <c r="E28" s="14"/>
      <c r="F28" s="88"/>
      <c r="G28" s="88"/>
      <c r="H28" s="9"/>
      <c r="I28" s="10"/>
      <c r="J28" s="11"/>
    </row>
    <row r="29" spans="2:19" ht="21.75" customHeight="1" thickBot="1">
      <c r="B29" s="163" t="s">
        <v>52</v>
      </c>
      <c r="C29" s="163"/>
      <c r="D29" s="180" t="s">
        <v>109</v>
      </c>
      <c r="E29" s="180"/>
      <c r="F29" s="180"/>
      <c r="G29" s="180"/>
      <c r="H29" s="180"/>
      <c r="I29" s="180"/>
      <c r="J29" s="113"/>
      <c r="K29" s="171" t="s">
        <v>51</v>
      </c>
      <c r="L29" s="171"/>
      <c r="M29" s="114" t="s">
        <v>40</v>
      </c>
      <c r="O29" s="105"/>
      <c r="P29" s="115"/>
      <c r="R29" s="105"/>
      <c r="S29" s="105"/>
    </row>
    <row r="30" spans="2:19" s="110" customFormat="1" ht="37.5" customHeight="1" thickBot="1">
      <c r="B30" s="41" t="s">
        <v>90</v>
      </c>
      <c r="C30" s="42" t="s">
        <v>91</v>
      </c>
      <c r="D30" s="42" t="s">
        <v>94</v>
      </c>
      <c r="E30" s="154" t="s">
        <v>108</v>
      </c>
      <c r="F30" s="154" t="s">
        <v>116</v>
      </c>
      <c r="G30" s="71" t="s">
        <v>115</v>
      </c>
      <c r="H30" s="71" t="s">
        <v>117</v>
      </c>
      <c r="I30" s="63" t="s">
        <v>102</v>
      </c>
      <c r="K30" s="15" t="s">
        <v>95</v>
      </c>
      <c r="L30" s="16" t="s">
        <v>45</v>
      </c>
      <c r="M30" s="16" t="s">
        <v>50</v>
      </c>
      <c r="N30" s="155" t="s">
        <v>49</v>
      </c>
      <c r="O30" s="16" t="s">
        <v>35</v>
      </c>
      <c r="P30" s="16" t="s">
        <v>46</v>
      </c>
      <c r="Q30" s="16" t="s">
        <v>48</v>
      </c>
      <c r="R30" s="17" t="s">
        <v>47</v>
      </c>
    </row>
    <row r="31" spans="2:19" ht="15" customHeight="1" thickBot="1">
      <c r="B31" s="43" t="s">
        <v>21</v>
      </c>
      <c r="C31" s="44" t="s">
        <v>20</v>
      </c>
      <c r="D31" s="45" t="s">
        <v>2</v>
      </c>
      <c r="E31" s="136"/>
      <c r="F31" s="137"/>
      <c r="G31" s="47">
        <f>E31+F31</f>
        <v>0</v>
      </c>
      <c r="H31" s="62">
        <f>SUMIF(N:N,D31,P:P)</f>
        <v>0</v>
      </c>
      <c r="I31" s="148">
        <f>G31-H31</f>
        <v>0</v>
      </c>
      <c r="K31" s="129"/>
      <c r="L31" s="130"/>
      <c r="M31" s="131"/>
      <c r="N31" s="131"/>
      <c r="O31" s="131"/>
      <c r="P31" s="132"/>
      <c r="Q31" s="131"/>
      <c r="R31" s="131"/>
    </row>
    <row r="32" spans="2:19" ht="15" customHeight="1">
      <c r="B32" s="172" t="s">
        <v>43</v>
      </c>
      <c r="C32" s="173" t="s">
        <v>24</v>
      </c>
      <c r="D32" s="34" t="s">
        <v>7</v>
      </c>
      <c r="E32" s="138"/>
      <c r="F32" s="139"/>
      <c r="G32" s="72">
        <f>E32+F32</f>
        <v>0</v>
      </c>
      <c r="H32" s="78">
        <f t="shared" ref="H32:H42" si="5">SUMIFS(P:P,M:M,"세부사업 1",N:N,D32)</f>
        <v>0</v>
      </c>
      <c r="I32" s="150">
        <f>G32-H32</f>
        <v>0</v>
      </c>
      <c r="K32" s="129"/>
      <c r="L32" s="133"/>
      <c r="M32" s="134"/>
      <c r="N32" s="134"/>
      <c r="O32" s="134"/>
      <c r="P32" s="135"/>
      <c r="Q32" s="134"/>
      <c r="R32" s="134"/>
    </row>
    <row r="33" spans="2:18" ht="15" customHeight="1">
      <c r="B33" s="172"/>
      <c r="C33" s="173"/>
      <c r="D33" s="37" t="s">
        <v>8</v>
      </c>
      <c r="E33" s="140"/>
      <c r="F33" s="141"/>
      <c r="G33" s="73">
        <f>E33+F33</f>
        <v>0</v>
      </c>
      <c r="H33" s="79">
        <f t="shared" si="5"/>
        <v>0</v>
      </c>
      <c r="I33" s="151">
        <f t="shared" ref="I33:I64" si="6">G33-H33</f>
        <v>0</v>
      </c>
      <c r="K33" s="129"/>
      <c r="L33" s="133"/>
      <c r="M33" s="134"/>
      <c r="N33" s="134"/>
      <c r="O33" s="134"/>
      <c r="P33" s="135"/>
      <c r="Q33" s="134"/>
      <c r="R33" s="134"/>
    </row>
    <row r="34" spans="2:18" ht="15.95" customHeight="1">
      <c r="B34" s="172"/>
      <c r="C34" s="173"/>
      <c r="D34" s="37" t="s">
        <v>9</v>
      </c>
      <c r="E34" s="140"/>
      <c r="F34" s="141"/>
      <c r="G34" s="73">
        <f>E34+F34</f>
        <v>0</v>
      </c>
      <c r="H34" s="79">
        <f t="shared" si="5"/>
        <v>0</v>
      </c>
      <c r="I34" s="151">
        <f t="shared" si="6"/>
        <v>0</v>
      </c>
      <c r="K34" s="129"/>
      <c r="L34" s="133"/>
      <c r="M34" s="134"/>
      <c r="N34" s="134"/>
      <c r="O34" s="134"/>
      <c r="P34" s="135"/>
      <c r="Q34" s="134"/>
      <c r="R34" s="134"/>
    </row>
    <row r="35" spans="2:18" ht="15.95" customHeight="1">
      <c r="B35" s="172"/>
      <c r="C35" s="173"/>
      <c r="D35" s="37" t="s">
        <v>10</v>
      </c>
      <c r="E35" s="140"/>
      <c r="F35" s="141"/>
      <c r="G35" s="73">
        <f t="shared" ref="G35:G64" si="7">E35+F35</f>
        <v>0</v>
      </c>
      <c r="H35" s="79">
        <f t="shared" si="5"/>
        <v>0</v>
      </c>
      <c r="I35" s="151">
        <f>G35-H35</f>
        <v>0</v>
      </c>
      <c r="K35" s="129"/>
      <c r="L35" s="133"/>
      <c r="M35" s="134"/>
      <c r="N35" s="134"/>
      <c r="O35" s="134"/>
      <c r="P35" s="135"/>
      <c r="Q35" s="134"/>
      <c r="R35" s="134"/>
    </row>
    <row r="36" spans="2:18" ht="15.95" customHeight="1">
      <c r="B36" s="172"/>
      <c r="C36" s="173"/>
      <c r="D36" s="37" t="s">
        <v>11</v>
      </c>
      <c r="E36" s="140"/>
      <c r="F36" s="141"/>
      <c r="G36" s="73">
        <f>E36+F36</f>
        <v>0</v>
      </c>
      <c r="H36" s="79">
        <f t="shared" si="5"/>
        <v>0</v>
      </c>
      <c r="I36" s="151">
        <f t="shared" si="6"/>
        <v>0</v>
      </c>
      <c r="K36" s="129"/>
      <c r="L36" s="133"/>
      <c r="M36" s="134"/>
      <c r="N36" s="134"/>
      <c r="O36" s="134"/>
      <c r="P36" s="135"/>
      <c r="Q36" s="134"/>
      <c r="R36" s="134"/>
    </row>
    <row r="37" spans="2:18" ht="15.95" customHeight="1">
      <c r="B37" s="172"/>
      <c r="C37" s="173"/>
      <c r="D37" s="37" t="s">
        <v>12</v>
      </c>
      <c r="E37" s="140"/>
      <c r="F37" s="141"/>
      <c r="G37" s="73">
        <f t="shared" si="7"/>
        <v>0</v>
      </c>
      <c r="H37" s="79">
        <f t="shared" si="5"/>
        <v>0</v>
      </c>
      <c r="I37" s="151">
        <f t="shared" si="6"/>
        <v>0</v>
      </c>
      <c r="K37" s="129"/>
      <c r="L37" s="133"/>
      <c r="M37" s="134"/>
      <c r="N37" s="134"/>
      <c r="O37" s="134"/>
      <c r="P37" s="135"/>
      <c r="Q37" s="134"/>
      <c r="R37" s="134"/>
    </row>
    <row r="38" spans="2:18" ht="15.95" customHeight="1">
      <c r="B38" s="172"/>
      <c r="C38" s="173"/>
      <c r="D38" s="37" t="s">
        <v>13</v>
      </c>
      <c r="E38" s="140"/>
      <c r="F38" s="141"/>
      <c r="G38" s="73">
        <f t="shared" si="7"/>
        <v>0</v>
      </c>
      <c r="H38" s="79">
        <f t="shared" si="5"/>
        <v>0</v>
      </c>
      <c r="I38" s="151">
        <f t="shared" si="6"/>
        <v>0</v>
      </c>
      <c r="K38" s="129"/>
      <c r="L38" s="133"/>
      <c r="M38" s="134"/>
      <c r="N38" s="134"/>
      <c r="O38" s="131"/>
      <c r="P38" s="135"/>
      <c r="Q38" s="134"/>
      <c r="R38" s="131"/>
    </row>
    <row r="39" spans="2:18" ht="15.95" customHeight="1">
      <c r="B39" s="172"/>
      <c r="C39" s="173"/>
      <c r="D39" s="37" t="s">
        <v>14</v>
      </c>
      <c r="E39" s="140"/>
      <c r="F39" s="141"/>
      <c r="G39" s="73">
        <f t="shared" si="7"/>
        <v>0</v>
      </c>
      <c r="H39" s="79">
        <f t="shared" si="5"/>
        <v>0</v>
      </c>
      <c r="I39" s="151">
        <f t="shared" si="6"/>
        <v>0</v>
      </c>
      <c r="K39" s="129"/>
      <c r="L39" s="133"/>
      <c r="M39" s="134"/>
      <c r="N39" s="134"/>
      <c r="O39" s="134"/>
      <c r="P39" s="135"/>
      <c r="Q39" s="134"/>
      <c r="R39" s="134"/>
    </row>
    <row r="40" spans="2:18" ht="15.95" customHeight="1">
      <c r="B40" s="172"/>
      <c r="C40" s="173"/>
      <c r="D40" s="37" t="s">
        <v>15</v>
      </c>
      <c r="E40" s="140"/>
      <c r="F40" s="141"/>
      <c r="G40" s="73">
        <f t="shared" si="7"/>
        <v>0</v>
      </c>
      <c r="H40" s="79">
        <f t="shared" si="5"/>
        <v>0</v>
      </c>
      <c r="I40" s="151">
        <f t="shared" si="6"/>
        <v>0</v>
      </c>
      <c r="K40" s="129"/>
      <c r="L40" s="133"/>
      <c r="M40" s="134"/>
      <c r="N40" s="134"/>
      <c r="O40" s="134"/>
      <c r="P40" s="135"/>
      <c r="Q40" s="134"/>
      <c r="R40" s="134"/>
    </row>
    <row r="41" spans="2:18" ht="15.95" customHeight="1">
      <c r="B41" s="172"/>
      <c r="C41" s="173"/>
      <c r="D41" s="37" t="s">
        <v>16</v>
      </c>
      <c r="E41" s="140"/>
      <c r="F41" s="141"/>
      <c r="G41" s="73">
        <f t="shared" si="7"/>
        <v>0</v>
      </c>
      <c r="H41" s="79">
        <f t="shared" si="5"/>
        <v>0</v>
      </c>
      <c r="I41" s="151">
        <f t="shared" si="6"/>
        <v>0</v>
      </c>
      <c r="K41" s="129"/>
      <c r="L41" s="133"/>
      <c r="M41" s="134"/>
      <c r="N41" s="134"/>
      <c r="O41" s="134"/>
      <c r="P41" s="135"/>
      <c r="Q41" s="134"/>
      <c r="R41" s="134"/>
    </row>
    <row r="42" spans="2:18" ht="15.95" customHeight="1" thickBot="1">
      <c r="B42" s="172"/>
      <c r="C42" s="173"/>
      <c r="D42" s="82" t="s">
        <v>17</v>
      </c>
      <c r="E42" s="142"/>
      <c r="F42" s="141"/>
      <c r="G42" s="84">
        <f t="shared" si="7"/>
        <v>0</v>
      </c>
      <c r="H42" s="85">
        <f t="shared" si="5"/>
        <v>0</v>
      </c>
      <c r="I42" s="152">
        <f t="shared" si="6"/>
        <v>0</v>
      </c>
      <c r="K42" s="129"/>
      <c r="L42" s="133"/>
      <c r="M42" s="134"/>
      <c r="N42" s="134"/>
      <c r="O42" s="134"/>
      <c r="P42" s="135"/>
      <c r="Q42" s="134"/>
      <c r="R42" s="134"/>
    </row>
    <row r="43" spans="2:18" ht="15.95" customHeight="1">
      <c r="B43" s="181" t="s">
        <v>23</v>
      </c>
      <c r="C43" s="183" t="s">
        <v>24</v>
      </c>
      <c r="D43" s="87" t="s">
        <v>7</v>
      </c>
      <c r="E43" s="138"/>
      <c r="F43" s="139"/>
      <c r="G43" s="72">
        <f>E43+F43</f>
        <v>0</v>
      </c>
      <c r="H43" s="78">
        <f t="shared" ref="H43:H53" si="8">SUMIFS(P:P,M:M,"세부사업 2",N:N,D43)</f>
        <v>0</v>
      </c>
      <c r="I43" s="150">
        <f t="shared" si="6"/>
        <v>0</v>
      </c>
      <c r="K43" s="129"/>
      <c r="L43" s="133"/>
      <c r="M43" s="134"/>
      <c r="N43" s="134"/>
      <c r="O43" s="134"/>
      <c r="P43" s="135"/>
      <c r="Q43" s="134"/>
      <c r="R43" s="134"/>
    </row>
    <row r="44" spans="2:18" ht="15.95" customHeight="1">
      <c r="B44" s="172"/>
      <c r="C44" s="173"/>
      <c r="D44" s="37" t="s">
        <v>8</v>
      </c>
      <c r="E44" s="140"/>
      <c r="F44" s="141"/>
      <c r="G44" s="73">
        <f>E44+F44</f>
        <v>0</v>
      </c>
      <c r="H44" s="79">
        <f t="shared" si="8"/>
        <v>0</v>
      </c>
      <c r="I44" s="151">
        <f t="shared" si="6"/>
        <v>0</v>
      </c>
      <c r="K44" s="129"/>
      <c r="L44" s="133"/>
      <c r="M44" s="134"/>
      <c r="N44" s="134"/>
      <c r="O44" s="134"/>
      <c r="P44" s="135"/>
      <c r="Q44" s="134"/>
      <c r="R44" s="134"/>
    </row>
    <row r="45" spans="2:18" ht="15.95" customHeight="1">
      <c r="B45" s="172"/>
      <c r="C45" s="173"/>
      <c r="D45" s="37" t="s">
        <v>9</v>
      </c>
      <c r="E45" s="140"/>
      <c r="F45" s="141"/>
      <c r="G45" s="73">
        <f>E45+F45</f>
        <v>0</v>
      </c>
      <c r="H45" s="79">
        <f t="shared" si="8"/>
        <v>0</v>
      </c>
      <c r="I45" s="151">
        <f t="shared" si="6"/>
        <v>0</v>
      </c>
      <c r="K45" s="129"/>
      <c r="L45" s="133"/>
      <c r="M45" s="134"/>
      <c r="N45" s="134"/>
      <c r="O45" s="134"/>
      <c r="P45" s="135"/>
      <c r="Q45" s="134"/>
      <c r="R45" s="134"/>
    </row>
    <row r="46" spans="2:18" ht="15.95" customHeight="1">
      <c r="B46" s="172"/>
      <c r="C46" s="173"/>
      <c r="D46" s="37" t="s">
        <v>10</v>
      </c>
      <c r="E46" s="140"/>
      <c r="F46" s="141"/>
      <c r="G46" s="73">
        <f>E46+F46</f>
        <v>0</v>
      </c>
      <c r="H46" s="79">
        <f t="shared" si="8"/>
        <v>0</v>
      </c>
      <c r="I46" s="151">
        <f t="shared" si="6"/>
        <v>0</v>
      </c>
      <c r="K46" s="129"/>
      <c r="L46" s="133"/>
      <c r="M46" s="134"/>
      <c r="N46" s="134"/>
      <c r="O46" s="131"/>
      <c r="P46" s="135"/>
      <c r="Q46" s="134"/>
      <c r="R46" s="131"/>
    </row>
    <row r="47" spans="2:18" ht="15.95" customHeight="1">
      <c r="B47" s="172"/>
      <c r="C47" s="173"/>
      <c r="D47" s="37" t="s">
        <v>11</v>
      </c>
      <c r="E47" s="140"/>
      <c r="F47" s="141"/>
      <c r="G47" s="73">
        <f>E47+F47</f>
        <v>0</v>
      </c>
      <c r="H47" s="79">
        <f t="shared" si="8"/>
        <v>0</v>
      </c>
      <c r="I47" s="151">
        <f t="shared" si="6"/>
        <v>0</v>
      </c>
      <c r="K47" s="129"/>
      <c r="L47" s="133"/>
      <c r="M47" s="134"/>
      <c r="N47" s="134"/>
      <c r="O47" s="134"/>
      <c r="P47" s="135"/>
      <c r="Q47" s="134"/>
      <c r="R47" s="134"/>
    </row>
    <row r="48" spans="2:18" ht="15.95" customHeight="1">
      <c r="B48" s="172"/>
      <c r="C48" s="173"/>
      <c r="D48" s="37" t="s">
        <v>12</v>
      </c>
      <c r="E48" s="140"/>
      <c r="F48" s="141"/>
      <c r="G48" s="73">
        <f t="shared" si="7"/>
        <v>0</v>
      </c>
      <c r="H48" s="79">
        <f t="shared" si="8"/>
        <v>0</v>
      </c>
      <c r="I48" s="151">
        <f t="shared" si="6"/>
        <v>0</v>
      </c>
      <c r="K48" s="129"/>
      <c r="L48" s="133"/>
      <c r="M48" s="134"/>
      <c r="N48" s="134"/>
      <c r="O48" s="134"/>
      <c r="P48" s="135"/>
      <c r="Q48" s="134"/>
      <c r="R48" s="134"/>
    </row>
    <row r="49" spans="2:18" ht="15.95" customHeight="1">
      <c r="B49" s="172"/>
      <c r="C49" s="173"/>
      <c r="D49" s="37" t="s">
        <v>13</v>
      </c>
      <c r="E49" s="140"/>
      <c r="F49" s="141"/>
      <c r="G49" s="73">
        <f t="shared" si="7"/>
        <v>0</v>
      </c>
      <c r="H49" s="79">
        <f t="shared" si="8"/>
        <v>0</v>
      </c>
      <c r="I49" s="151">
        <f t="shared" si="6"/>
        <v>0</v>
      </c>
      <c r="K49" s="129"/>
      <c r="L49" s="133"/>
      <c r="M49" s="134"/>
      <c r="N49" s="134"/>
      <c r="O49" s="134"/>
      <c r="P49" s="135"/>
      <c r="Q49" s="134"/>
      <c r="R49" s="134"/>
    </row>
    <row r="50" spans="2:18" ht="15.95" customHeight="1">
      <c r="B50" s="172"/>
      <c r="C50" s="173"/>
      <c r="D50" s="37" t="s">
        <v>14</v>
      </c>
      <c r="E50" s="140"/>
      <c r="F50" s="141"/>
      <c r="G50" s="73">
        <f t="shared" si="7"/>
        <v>0</v>
      </c>
      <c r="H50" s="79">
        <f t="shared" si="8"/>
        <v>0</v>
      </c>
      <c r="I50" s="151">
        <f t="shared" si="6"/>
        <v>0</v>
      </c>
      <c r="K50" s="129"/>
      <c r="L50" s="133"/>
      <c r="M50" s="134"/>
      <c r="N50" s="134"/>
      <c r="O50" s="134"/>
      <c r="P50" s="135"/>
      <c r="Q50" s="134"/>
      <c r="R50" s="134"/>
    </row>
    <row r="51" spans="2:18" ht="15.95" customHeight="1">
      <c r="B51" s="172"/>
      <c r="C51" s="173"/>
      <c r="D51" s="37" t="s">
        <v>15</v>
      </c>
      <c r="E51" s="140"/>
      <c r="F51" s="141"/>
      <c r="G51" s="73">
        <f t="shared" si="7"/>
        <v>0</v>
      </c>
      <c r="H51" s="79">
        <f t="shared" si="8"/>
        <v>0</v>
      </c>
      <c r="I51" s="151">
        <f t="shared" si="6"/>
        <v>0</v>
      </c>
      <c r="K51" s="129"/>
      <c r="L51" s="133"/>
      <c r="M51" s="134"/>
      <c r="N51" s="134"/>
      <c r="O51" s="134"/>
      <c r="P51" s="135"/>
      <c r="Q51" s="134"/>
      <c r="R51" s="134"/>
    </row>
    <row r="52" spans="2:18" ht="15.95" customHeight="1">
      <c r="B52" s="172"/>
      <c r="C52" s="173"/>
      <c r="D52" s="37" t="s">
        <v>16</v>
      </c>
      <c r="E52" s="140"/>
      <c r="F52" s="141"/>
      <c r="G52" s="73">
        <f t="shared" si="7"/>
        <v>0</v>
      </c>
      <c r="H52" s="79">
        <f t="shared" si="8"/>
        <v>0</v>
      </c>
      <c r="I52" s="151">
        <f t="shared" si="6"/>
        <v>0</v>
      </c>
      <c r="K52" s="129"/>
      <c r="L52" s="133"/>
      <c r="M52" s="134"/>
      <c r="N52" s="134"/>
      <c r="O52" s="134"/>
      <c r="P52" s="135"/>
      <c r="Q52" s="134"/>
      <c r="R52" s="134"/>
    </row>
    <row r="53" spans="2:18" ht="15.95" customHeight="1" thickBot="1">
      <c r="B53" s="182"/>
      <c r="C53" s="184"/>
      <c r="D53" s="46" t="s">
        <v>17</v>
      </c>
      <c r="E53" s="143"/>
      <c r="F53" s="144"/>
      <c r="G53" s="74">
        <f t="shared" si="7"/>
        <v>0</v>
      </c>
      <c r="H53" s="81">
        <f t="shared" si="8"/>
        <v>0</v>
      </c>
      <c r="I53" s="153">
        <f t="shared" si="6"/>
        <v>0</v>
      </c>
      <c r="K53" s="129"/>
      <c r="L53" s="133"/>
      <c r="M53" s="134"/>
      <c r="N53" s="134"/>
      <c r="O53" s="134"/>
      <c r="P53" s="135"/>
      <c r="Q53" s="134"/>
      <c r="R53" s="134"/>
    </row>
    <row r="54" spans="2:18" ht="15.95" customHeight="1">
      <c r="B54" s="172" t="s">
        <v>22</v>
      </c>
      <c r="C54" s="173" t="s">
        <v>24</v>
      </c>
      <c r="D54" s="34" t="s">
        <v>7</v>
      </c>
      <c r="E54" s="145"/>
      <c r="F54" s="146"/>
      <c r="G54" s="75">
        <f t="shared" si="7"/>
        <v>0</v>
      </c>
      <c r="H54" s="86">
        <f t="shared" ref="H54:H64" si="9">SUMIFS(P:P,M:M,"세부사업 3",N:N,D54)</f>
        <v>0</v>
      </c>
      <c r="I54" s="149">
        <f t="shared" si="6"/>
        <v>0</v>
      </c>
      <c r="K54" s="129"/>
      <c r="L54" s="133"/>
      <c r="M54" s="134"/>
      <c r="N54" s="134"/>
      <c r="O54" s="134"/>
      <c r="P54" s="135"/>
      <c r="Q54" s="134"/>
      <c r="R54" s="134"/>
    </row>
    <row r="55" spans="2:18" ht="15.95" customHeight="1">
      <c r="B55" s="172"/>
      <c r="C55" s="173"/>
      <c r="D55" s="37" t="s">
        <v>8</v>
      </c>
      <c r="E55" s="140"/>
      <c r="F55" s="146"/>
      <c r="G55" s="73">
        <f t="shared" si="7"/>
        <v>0</v>
      </c>
      <c r="H55" s="79">
        <f t="shared" si="9"/>
        <v>0</v>
      </c>
      <c r="I55" s="151">
        <f t="shared" si="6"/>
        <v>0</v>
      </c>
      <c r="K55" s="129"/>
      <c r="L55" s="133"/>
      <c r="M55" s="134"/>
      <c r="N55" s="134"/>
      <c r="O55" s="134"/>
      <c r="P55" s="135"/>
      <c r="Q55" s="134"/>
      <c r="R55" s="134"/>
    </row>
    <row r="56" spans="2:18" ht="15.95" customHeight="1">
      <c r="B56" s="172"/>
      <c r="C56" s="173"/>
      <c r="D56" s="37" t="s">
        <v>9</v>
      </c>
      <c r="E56" s="140"/>
      <c r="F56" s="146"/>
      <c r="G56" s="73">
        <f t="shared" si="7"/>
        <v>0</v>
      </c>
      <c r="H56" s="79">
        <f t="shared" si="9"/>
        <v>0</v>
      </c>
      <c r="I56" s="151">
        <f t="shared" si="6"/>
        <v>0</v>
      </c>
      <c r="K56" s="129"/>
      <c r="L56" s="133"/>
      <c r="M56" s="134"/>
      <c r="N56" s="134"/>
      <c r="O56" s="134"/>
      <c r="P56" s="135"/>
      <c r="Q56" s="134"/>
      <c r="R56" s="134"/>
    </row>
    <row r="57" spans="2:18" ht="15.95" customHeight="1">
      <c r="B57" s="172"/>
      <c r="C57" s="173"/>
      <c r="D57" s="37" t="s">
        <v>10</v>
      </c>
      <c r="E57" s="140"/>
      <c r="F57" s="146"/>
      <c r="G57" s="73">
        <f t="shared" si="7"/>
        <v>0</v>
      </c>
      <c r="H57" s="79">
        <f t="shared" si="9"/>
        <v>0</v>
      </c>
      <c r="I57" s="151">
        <f t="shared" si="6"/>
        <v>0</v>
      </c>
      <c r="K57" s="129"/>
      <c r="L57" s="133"/>
      <c r="M57" s="134"/>
      <c r="N57" s="134"/>
      <c r="O57" s="134"/>
      <c r="P57" s="135"/>
      <c r="Q57" s="134"/>
      <c r="R57" s="134"/>
    </row>
    <row r="58" spans="2:18">
      <c r="B58" s="172"/>
      <c r="C58" s="173"/>
      <c r="D58" s="37" t="s">
        <v>11</v>
      </c>
      <c r="E58" s="140"/>
      <c r="F58" s="146"/>
      <c r="G58" s="73">
        <f t="shared" si="7"/>
        <v>0</v>
      </c>
      <c r="H58" s="79">
        <f t="shared" si="9"/>
        <v>0</v>
      </c>
      <c r="I58" s="151">
        <f t="shared" si="6"/>
        <v>0</v>
      </c>
      <c r="K58" s="129"/>
      <c r="L58" s="133"/>
      <c r="M58" s="134"/>
      <c r="N58" s="134"/>
      <c r="O58" s="134"/>
      <c r="P58" s="135"/>
      <c r="Q58" s="134"/>
      <c r="R58" s="134"/>
    </row>
    <row r="59" spans="2:18">
      <c r="B59" s="172"/>
      <c r="C59" s="173"/>
      <c r="D59" s="37" t="s">
        <v>12</v>
      </c>
      <c r="E59" s="140"/>
      <c r="F59" s="146"/>
      <c r="G59" s="73">
        <f t="shared" si="7"/>
        <v>0</v>
      </c>
      <c r="H59" s="79">
        <f t="shared" si="9"/>
        <v>0</v>
      </c>
      <c r="I59" s="151">
        <f t="shared" si="6"/>
        <v>0</v>
      </c>
      <c r="K59" s="129"/>
      <c r="L59" s="133"/>
      <c r="M59" s="134"/>
      <c r="N59" s="134"/>
      <c r="O59" s="134"/>
      <c r="P59" s="135"/>
      <c r="Q59" s="134"/>
      <c r="R59" s="134"/>
    </row>
    <row r="60" spans="2:18">
      <c r="B60" s="172"/>
      <c r="C60" s="173"/>
      <c r="D60" s="37" t="s">
        <v>13</v>
      </c>
      <c r="E60" s="140"/>
      <c r="F60" s="146"/>
      <c r="G60" s="73">
        <f t="shared" si="7"/>
        <v>0</v>
      </c>
      <c r="H60" s="79">
        <f t="shared" si="9"/>
        <v>0</v>
      </c>
      <c r="I60" s="151">
        <f t="shared" si="6"/>
        <v>0</v>
      </c>
      <c r="K60" s="129"/>
      <c r="L60" s="133"/>
      <c r="M60" s="134"/>
      <c r="N60" s="134"/>
      <c r="O60" s="134"/>
      <c r="P60" s="135"/>
      <c r="Q60" s="134"/>
      <c r="R60" s="134"/>
    </row>
    <row r="61" spans="2:18">
      <c r="B61" s="172"/>
      <c r="C61" s="173"/>
      <c r="D61" s="37" t="s">
        <v>14</v>
      </c>
      <c r="E61" s="140"/>
      <c r="F61" s="146"/>
      <c r="G61" s="73">
        <f t="shared" si="7"/>
        <v>0</v>
      </c>
      <c r="H61" s="79">
        <f t="shared" si="9"/>
        <v>0</v>
      </c>
      <c r="I61" s="151">
        <f t="shared" si="6"/>
        <v>0</v>
      </c>
      <c r="K61" s="129"/>
      <c r="L61" s="133"/>
      <c r="M61" s="134"/>
      <c r="N61" s="134"/>
      <c r="O61" s="134"/>
      <c r="P61" s="135"/>
      <c r="Q61" s="134"/>
      <c r="R61" s="134"/>
    </row>
    <row r="62" spans="2:18">
      <c r="B62" s="172"/>
      <c r="C62" s="173"/>
      <c r="D62" s="37" t="s">
        <v>15</v>
      </c>
      <c r="E62" s="140"/>
      <c r="F62" s="146"/>
      <c r="G62" s="73">
        <f t="shared" si="7"/>
        <v>0</v>
      </c>
      <c r="H62" s="79">
        <f t="shared" si="9"/>
        <v>0</v>
      </c>
      <c r="I62" s="151">
        <f t="shared" si="6"/>
        <v>0</v>
      </c>
      <c r="K62" s="129"/>
      <c r="L62" s="133"/>
      <c r="M62" s="134"/>
      <c r="N62" s="134"/>
      <c r="O62" s="134"/>
      <c r="P62" s="135"/>
      <c r="Q62" s="134"/>
      <c r="R62" s="134"/>
    </row>
    <row r="63" spans="2:18">
      <c r="B63" s="172"/>
      <c r="C63" s="173"/>
      <c r="D63" s="37" t="s">
        <v>16</v>
      </c>
      <c r="E63" s="140"/>
      <c r="F63" s="146"/>
      <c r="G63" s="73">
        <f t="shared" si="7"/>
        <v>0</v>
      </c>
      <c r="H63" s="79">
        <f t="shared" si="9"/>
        <v>0</v>
      </c>
      <c r="I63" s="151">
        <f t="shared" si="6"/>
        <v>0</v>
      </c>
      <c r="K63" s="129"/>
      <c r="L63" s="133"/>
      <c r="M63" s="134"/>
      <c r="N63" s="134"/>
      <c r="O63" s="134"/>
      <c r="P63" s="135"/>
      <c r="Q63" s="134"/>
      <c r="R63" s="134"/>
    </row>
    <row r="64" spans="2:18" ht="17.25" thickBot="1">
      <c r="B64" s="182"/>
      <c r="C64" s="184"/>
      <c r="D64" s="46" t="s">
        <v>17</v>
      </c>
      <c r="E64" s="143"/>
      <c r="F64" s="146"/>
      <c r="G64" s="74">
        <f t="shared" si="7"/>
        <v>0</v>
      </c>
      <c r="H64" s="81">
        <f t="shared" si="9"/>
        <v>0</v>
      </c>
      <c r="I64" s="153">
        <f t="shared" si="6"/>
        <v>0</v>
      </c>
      <c r="K64" s="129"/>
      <c r="L64" s="133"/>
      <c r="M64" s="134"/>
      <c r="N64" s="134"/>
      <c r="O64" s="134"/>
      <c r="P64" s="135"/>
      <c r="Q64" s="134"/>
      <c r="R64" s="134"/>
    </row>
    <row r="65" spans="2:18" ht="17.25" thickBot="1">
      <c r="B65" s="185" t="s">
        <v>34</v>
      </c>
      <c r="C65" s="186"/>
      <c r="D65" s="187"/>
      <c r="E65" s="48">
        <f>SUM(E31:E64)</f>
        <v>0</v>
      </c>
      <c r="F65" s="48">
        <f>SUM(F31:F64)</f>
        <v>0</v>
      </c>
      <c r="G65" s="48">
        <f>E65-F65</f>
        <v>0</v>
      </c>
      <c r="H65" s="48">
        <f>SUM(H31:H64)</f>
        <v>0</v>
      </c>
      <c r="I65" s="55">
        <f>SUM(I31:I64)</f>
        <v>0</v>
      </c>
      <c r="K65" s="129"/>
      <c r="L65" s="133"/>
      <c r="M65" s="134"/>
      <c r="N65" s="134"/>
      <c r="O65" s="134"/>
      <c r="P65" s="135"/>
      <c r="Q65" s="134"/>
      <c r="R65" s="134"/>
    </row>
    <row r="66" spans="2:18">
      <c r="H66" s="106"/>
      <c r="K66" s="129"/>
      <c r="L66" s="133"/>
      <c r="M66" s="134"/>
      <c r="N66" s="134"/>
      <c r="O66" s="134"/>
      <c r="P66" s="135"/>
      <c r="Q66" s="134"/>
      <c r="R66" s="134"/>
    </row>
    <row r="67" spans="2:18">
      <c r="C67" s="18"/>
      <c r="D67" s="18"/>
      <c r="E67" s="18"/>
      <c r="F67" s="59"/>
      <c r="G67" s="19"/>
      <c r="H67" s="106"/>
      <c r="K67" s="129"/>
      <c r="L67" s="133"/>
      <c r="M67" s="134"/>
      <c r="N67" s="134"/>
      <c r="O67" s="134"/>
      <c r="P67" s="135"/>
      <c r="Q67" s="134"/>
      <c r="R67" s="134"/>
    </row>
    <row r="68" spans="2:18">
      <c r="C68" s="59"/>
      <c r="D68" s="59"/>
      <c r="E68" s="20"/>
      <c r="F68" s="59"/>
      <c r="G68" s="21"/>
      <c r="H68" s="106"/>
      <c r="K68" s="129"/>
      <c r="L68" s="133"/>
      <c r="M68" s="134"/>
      <c r="N68" s="134"/>
      <c r="O68" s="134"/>
      <c r="P68" s="135"/>
      <c r="Q68" s="134"/>
      <c r="R68" s="134"/>
    </row>
    <row r="69" spans="2:18">
      <c r="C69" s="179"/>
      <c r="D69" s="59"/>
      <c r="E69" s="20"/>
      <c r="F69" s="59"/>
      <c r="G69" s="21"/>
      <c r="H69" s="106"/>
      <c r="K69" s="129"/>
      <c r="L69" s="133"/>
      <c r="M69" s="134"/>
      <c r="N69" s="134"/>
      <c r="O69" s="134"/>
      <c r="P69" s="135"/>
      <c r="Q69" s="134"/>
      <c r="R69" s="134"/>
    </row>
    <row r="70" spans="2:18">
      <c r="C70" s="179"/>
      <c r="D70" s="22"/>
      <c r="E70" s="23"/>
      <c r="F70" s="59"/>
      <c r="G70" s="19"/>
      <c r="H70" s="106"/>
      <c r="K70" s="129"/>
      <c r="L70" s="133"/>
      <c r="M70" s="134"/>
      <c r="N70" s="134"/>
      <c r="O70" s="134"/>
      <c r="P70" s="135"/>
      <c r="Q70" s="134"/>
      <c r="R70" s="134"/>
    </row>
    <row r="71" spans="2:18">
      <c r="C71" s="179"/>
      <c r="D71" s="22"/>
      <c r="E71" s="23"/>
      <c r="F71" s="120"/>
      <c r="G71" s="120"/>
      <c r="H71" s="106"/>
      <c r="K71" s="129"/>
      <c r="L71" s="133"/>
      <c r="M71" s="134"/>
      <c r="N71" s="134"/>
      <c r="O71" s="134"/>
      <c r="P71" s="135"/>
      <c r="Q71" s="134"/>
      <c r="R71" s="134"/>
    </row>
    <row r="72" spans="2:18">
      <c r="D72" s="1"/>
      <c r="E72" s="106"/>
      <c r="H72" s="106"/>
      <c r="K72" s="129"/>
      <c r="L72" s="133"/>
      <c r="M72" s="134"/>
      <c r="N72" s="134"/>
      <c r="O72" s="134"/>
      <c r="P72" s="135"/>
      <c r="Q72" s="134"/>
      <c r="R72" s="134"/>
    </row>
    <row r="73" spans="2:18">
      <c r="K73" s="129"/>
      <c r="L73" s="133"/>
      <c r="M73" s="134"/>
      <c r="N73" s="134"/>
      <c r="O73" s="134"/>
      <c r="P73" s="135"/>
      <c r="Q73" s="134"/>
      <c r="R73" s="134"/>
    </row>
    <row r="74" spans="2:18">
      <c r="K74" s="129"/>
      <c r="L74" s="133"/>
      <c r="M74" s="134"/>
      <c r="N74" s="134"/>
      <c r="O74" s="134"/>
      <c r="P74" s="135"/>
      <c r="Q74" s="134"/>
      <c r="R74" s="134"/>
    </row>
    <row r="75" spans="2:18">
      <c r="K75" s="129"/>
      <c r="L75" s="133"/>
      <c r="M75" s="134"/>
      <c r="N75" s="134"/>
      <c r="O75" s="134"/>
      <c r="P75" s="135"/>
      <c r="Q75" s="134"/>
      <c r="R75" s="134"/>
    </row>
    <row r="76" spans="2:18">
      <c r="K76" s="129"/>
      <c r="L76" s="133"/>
      <c r="M76" s="134"/>
      <c r="N76" s="134"/>
      <c r="O76" s="134"/>
      <c r="P76" s="135"/>
      <c r="Q76" s="134"/>
      <c r="R76" s="134"/>
    </row>
    <row r="77" spans="2:18">
      <c r="K77" s="129"/>
      <c r="L77" s="133"/>
      <c r="M77" s="134"/>
      <c r="N77" s="134"/>
      <c r="O77" s="134"/>
      <c r="P77" s="135"/>
      <c r="Q77" s="134"/>
      <c r="R77" s="134"/>
    </row>
    <row r="78" spans="2:18">
      <c r="K78" s="129"/>
      <c r="L78" s="133"/>
      <c r="M78" s="134"/>
      <c r="N78" s="134"/>
      <c r="O78" s="134"/>
      <c r="P78" s="135"/>
      <c r="Q78" s="134"/>
      <c r="R78" s="134"/>
    </row>
    <row r="79" spans="2:18">
      <c r="K79" s="129"/>
      <c r="L79" s="133"/>
      <c r="M79" s="134"/>
      <c r="N79" s="134"/>
      <c r="O79" s="134"/>
      <c r="P79" s="135"/>
      <c r="Q79" s="134"/>
      <c r="R79" s="134"/>
    </row>
    <row r="80" spans="2:18">
      <c r="K80" s="129"/>
      <c r="L80" s="133"/>
      <c r="M80" s="134"/>
      <c r="N80" s="134"/>
      <c r="O80" s="134"/>
      <c r="P80" s="135"/>
      <c r="Q80" s="134"/>
      <c r="R80" s="134"/>
    </row>
    <row r="82" spans="14:14">
      <c r="N82" s="121"/>
    </row>
    <row r="83" spans="14:14">
      <c r="N83" s="121"/>
    </row>
    <row r="84" spans="14:14">
      <c r="N84" s="121"/>
    </row>
    <row r="85" spans="14:14">
      <c r="N85" s="121"/>
    </row>
    <row r="86" spans="14:14">
      <c r="N86" s="121"/>
    </row>
    <row r="87" spans="14:14">
      <c r="N87" s="121"/>
    </row>
    <row r="88" spans="14:14">
      <c r="N88" s="121"/>
    </row>
    <row r="89" spans="14:14">
      <c r="N89" s="121"/>
    </row>
    <row r="90" spans="14:14">
      <c r="N90" s="121"/>
    </row>
    <row r="91" spans="14:14">
      <c r="N91" s="121"/>
    </row>
    <row r="92" spans="14:14">
      <c r="N92" s="121"/>
    </row>
    <row r="93" spans="14:14">
      <c r="N93" s="121"/>
    </row>
    <row r="94" spans="14:14">
      <c r="N94" s="121"/>
    </row>
    <row r="95" spans="14:14">
      <c r="N95" s="121"/>
    </row>
    <row r="96" spans="14:14">
      <c r="N96" s="121"/>
    </row>
    <row r="97" spans="14:14">
      <c r="N97" s="121"/>
    </row>
    <row r="98" spans="14:14">
      <c r="N98" s="121"/>
    </row>
    <row r="99" spans="14:14">
      <c r="N99" s="121"/>
    </row>
    <row r="100" spans="14:14">
      <c r="N100" s="121"/>
    </row>
    <row r="101" spans="14:14">
      <c r="N101" s="121"/>
    </row>
    <row r="102" spans="14:14">
      <c r="N102" s="121"/>
    </row>
    <row r="103" spans="14:14">
      <c r="N103" s="121"/>
    </row>
    <row r="104" spans="14:14">
      <c r="N104" s="121"/>
    </row>
    <row r="105" spans="14:14">
      <c r="N105" s="121"/>
    </row>
  </sheetData>
  <sheetProtection algorithmName="SHA-512" hashValue="bmLiCOlRYDnle4TaHfiEJoKJlztjkfDdQtLdzZlKgROYwgv3N74DbX1aup55QlJdhJ9WFnIe666m3SHNC+XgjQ==" saltValue="RNbPEZVfq0QsrOf8iSLuFg==" spinCount="100000" sheet="1" objects="1" scenarios="1"/>
  <mergeCells count="31">
    <mergeCell ref="C69:C71"/>
    <mergeCell ref="C27:D27"/>
    <mergeCell ref="F27:G27"/>
    <mergeCell ref="B29:C29"/>
    <mergeCell ref="D29:I29"/>
    <mergeCell ref="B43:B53"/>
    <mergeCell ref="C43:C53"/>
    <mergeCell ref="B54:B64"/>
    <mergeCell ref="C54:C64"/>
    <mergeCell ref="B65:D65"/>
    <mergeCell ref="K29:L29"/>
    <mergeCell ref="B32:B42"/>
    <mergeCell ref="C32:C42"/>
    <mergeCell ref="C11:D11"/>
    <mergeCell ref="F11:G11"/>
    <mergeCell ref="B12:C12"/>
    <mergeCell ref="D12:E12"/>
    <mergeCell ref="B15:B25"/>
    <mergeCell ref="B26:E26"/>
    <mergeCell ref="B8:C8"/>
    <mergeCell ref="C9:D9"/>
    <mergeCell ref="F9:G9"/>
    <mergeCell ref="I9:J9"/>
    <mergeCell ref="C10:D10"/>
    <mergeCell ref="F10:G10"/>
    <mergeCell ref="C2:H2"/>
    <mergeCell ref="B3:G3"/>
    <mergeCell ref="C6:D6"/>
    <mergeCell ref="F6:G6"/>
    <mergeCell ref="C7:D7"/>
    <mergeCell ref="F7:G7"/>
  </mergeCells>
  <phoneticPr fontId="2" type="noConversion"/>
  <conditionalFormatting sqref="I9:J10">
    <cfRule type="cellIs" dxfId="217" priority="109" operator="lessThan">
      <formula>0</formula>
    </cfRule>
  </conditionalFormatting>
  <conditionalFormatting sqref="F10">
    <cfRule type="cellIs" dxfId="216" priority="106" operator="greaterThan">
      <formula>1</formula>
    </cfRule>
    <cfRule type="cellIs" dxfId="215" priority="107" operator="lessThan">
      <formula>0</formula>
    </cfRule>
  </conditionalFormatting>
  <conditionalFormatting sqref="C10">
    <cfRule type="cellIs" dxfId="214" priority="108" operator="lessThan">
      <formula>0</formula>
    </cfRule>
  </conditionalFormatting>
  <conditionalFormatting sqref="H14">
    <cfRule type="cellIs" dxfId="213" priority="105" operator="greaterThan">
      <formula>$E$14</formula>
    </cfRule>
  </conditionalFormatting>
  <conditionalFormatting sqref="H19">
    <cfRule type="cellIs" dxfId="212" priority="104" operator="greaterThan">
      <formula>$E$19</formula>
    </cfRule>
  </conditionalFormatting>
  <conditionalFormatting sqref="H20">
    <cfRule type="cellIs" dxfId="211" priority="103" operator="greaterThan">
      <formula>$E$20</formula>
    </cfRule>
  </conditionalFormatting>
  <conditionalFormatting sqref="H23">
    <cfRule type="cellIs" dxfId="210" priority="102" operator="greaterThan">
      <formula>$E$23</formula>
    </cfRule>
  </conditionalFormatting>
  <conditionalFormatting sqref="I26">
    <cfRule type="cellIs" dxfId="209" priority="86" operator="greaterThan">
      <formula>$H$26</formula>
    </cfRule>
    <cfRule type="cellIs" dxfId="208" priority="101" operator="greaterThan">
      <formula>$H$26</formula>
    </cfRule>
  </conditionalFormatting>
  <conditionalFormatting sqref="I14">
    <cfRule type="cellIs" dxfId="207" priority="100" operator="greaterThan">
      <formula>$H$14</formula>
    </cfRule>
  </conditionalFormatting>
  <conditionalFormatting sqref="I15">
    <cfRule type="cellIs" dxfId="206" priority="99" operator="greaterThan">
      <formula>$H$15</formula>
    </cfRule>
  </conditionalFormatting>
  <conditionalFormatting sqref="I16">
    <cfRule type="cellIs" dxfId="205" priority="98" operator="greaterThan">
      <formula>$H$16</formula>
    </cfRule>
  </conditionalFormatting>
  <conditionalFormatting sqref="I17">
    <cfRule type="cellIs" dxfId="204" priority="96" operator="greaterThan">
      <formula>$H$17</formula>
    </cfRule>
    <cfRule type="cellIs" dxfId="203" priority="97" operator="greaterThan">
      <formula>$H$17</formula>
    </cfRule>
  </conditionalFormatting>
  <conditionalFormatting sqref="I18">
    <cfRule type="cellIs" dxfId="202" priority="95" operator="greaterThan">
      <formula>$H$18</formula>
    </cfRule>
  </conditionalFormatting>
  <conditionalFormatting sqref="I19">
    <cfRule type="cellIs" dxfId="201" priority="94" operator="greaterThan">
      <formula>$H$19</formula>
    </cfRule>
  </conditionalFormatting>
  <conditionalFormatting sqref="I20">
    <cfRule type="cellIs" dxfId="200" priority="92" operator="greaterThan">
      <formula>$H$20</formula>
    </cfRule>
    <cfRule type="cellIs" dxfId="199" priority="93" operator="greaterThan">
      <formula>100000</formula>
    </cfRule>
  </conditionalFormatting>
  <conditionalFormatting sqref="I21">
    <cfRule type="cellIs" dxfId="198" priority="91" operator="greaterThan">
      <formula>$H$21</formula>
    </cfRule>
  </conditionalFormatting>
  <conditionalFormatting sqref="I22">
    <cfRule type="cellIs" dxfId="197" priority="90" operator="greaterThan">
      <formula>$H$22</formula>
    </cfRule>
  </conditionalFormatting>
  <conditionalFormatting sqref="I23">
    <cfRule type="cellIs" dxfId="196" priority="89" operator="greaterThan">
      <formula>$H$23</formula>
    </cfRule>
  </conditionalFormatting>
  <conditionalFormatting sqref="I24">
    <cfRule type="cellIs" dxfId="195" priority="88" operator="greaterThan">
      <formula>$H$24</formula>
    </cfRule>
  </conditionalFormatting>
  <conditionalFormatting sqref="I25">
    <cfRule type="cellIs" dxfId="194" priority="87" operator="greaterThan">
      <formula>$H$25</formula>
    </cfRule>
  </conditionalFormatting>
  <conditionalFormatting sqref="J14">
    <cfRule type="cellIs" dxfId="193" priority="85" operator="lessThan">
      <formula>0</formula>
    </cfRule>
  </conditionalFormatting>
  <conditionalFormatting sqref="J15">
    <cfRule type="cellIs" dxfId="192" priority="84" operator="lessThan">
      <formula>0</formula>
    </cfRule>
  </conditionalFormatting>
  <conditionalFormatting sqref="J16">
    <cfRule type="cellIs" dxfId="191" priority="83" operator="lessThan">
      <formula>0</formula>
    </cfRule>
  </conditionalFormatting>
  <conditionalFormatting sqref="J17">
    <cfRule type="cellIs" dxfId="190" priority="82" operator="lessThan">
      <formula>0</formula>
    </cfRule>
  </conditionalFormatting>
  <conditionalFormatting sqref="J18">
    <cfRule type="cellIs" dxfId="189" priority="81" operator="lessThan">
      <formula>0</formula>
    </cfRule>
  </conditionalFormatting>
  <conditionalFormatting sqref="J19">
    <cfRule type="cellIs" dxfId="188" priority="80" operator="lessThan">
      <formula>0</formula>
    </cfRule>
  </conditionalFormatting>
  <conditionalFormatting sqref="J20">
    <cfRule type="cellIs" dxfId="187" priority="79" operator="lessThan">
      <formula>0</formula>
    </cfRule>
  </conditionalFormatting>
  <conditionalFormatting sqref="J21">
    <cfRule type="cellIs" dxfId="186" priority="78" operator="lessThan">
      <formula>0</formula>
    </cfRule>
  </conditionalFormatting>
  <conditionalFormatting sqref="J22">
    <cfRule type="cellIs" dxfId="185" priority="77" operator="lessThan">
      <formula>0</formula>
    </cfRule>
  </conditionalFormatting>
  <conditionalFormatting sqref="J23">
    <cfRule type="cellIs" dxfId="184" priority="76" operator="lessThan">
      <formula>0</formula>
    </cfRule>
  </conditionalFormatting>
  <conditionalFormatting sqref="J24">
    <cfRule type="cellIs" dxfId="183" priority="75" operator="lessThan">
      <formula>0</formula>
    </cfRule>
  </conditionalFormatting>
  <conditionalFormatting sqref="J25">
    <cfRule type="cellIs" dxfId="182" priority="74" operator="lessThan">
      <formula>0</formula>
    </cfRule>
  </conditionalFormatting>
  <conditionalFormatting sqref="J26">
    <cfRule type="cellIs" dxfId="181" priority="73" operator="lessThan">
      <formula>0</formula>
    </cfRule>
  </conditionalFormatting>
  <conditionalFormatting sqref="H31">
    <cfRule type="cellIs" dxfId="180" priority="72" operator="greaterThan">
      <formula>$G$31</formula>
    </cfRule>
  </conditionalFormatting>
  <conditionalFormatting sqref="H32">
    <cfRule type="cellIs" dxfId="179" priority="71" operator="greaterThan">
      <formula>$G$32</formula>
    </cfRule>
  </conditionalFormatting>
  <conditionalFormatting sqref="H33">
    <cfRule type="cellIs" dxfId="178" priority="70" operator="greaterThan">
      <formula>$G$33</formula>
    </cfRule>
  </conditionalFormatting>
  <conditionalFormatting sqref="H34">
    <cfRule type="cellIs" dxfId="177" priority="69" operator="greaterThan">
      <formula>$G$34</formula>
    </cfRule>
  </conditionalFormatting>
  <conditionalFormatting sqref="H35">
    <cfRule type="cellIs" dxfId="176" priority="68" operator="greaterThan">
      <formula>$G$35</formula>
    </cfRule>
  </conditionalFormatting>
  <conditionalFormatting sqref="H36">
    <cfRule type="cellIs" dxfId="175" priority="67" operator="greaterThan">
      <formula>$G$36</formula>
    </cfRule>
  </conditionalFormatting>
  <conditionalFormatting sqref="H37">
    <cfRule type="cellIs" dxfId="174" priority="66" operator="greaterThan">
      <formula>$G$37</formula>
    </cfRule>
  </conditionalFormatting>
  <conditionalFormatting sqref="H38">
    <cfRule type="cellIs" dxfId="173" priority="65" operator="greaterThan">
      <formula>$G$38</formula>
    </cfRule>
  </conditionalFormatting>
  <conditionalFormatting sqref="H39">
    <cfRule type="cellIs" dxfId="172" priority="64" operator="greaterThan">
      <formula>$G$39</formula>
    </cfRule>
  </conditionalFormatting>
  <conditionalFormatting sqref="H40">
    <cfRule type="cellIs" dxfId="171" priority="63" operator="greaterThan">
      <formula>$G$40</formula>
    </cfRule>
  </conditionalFormatting>
  <conditionalFormatting sqref="H41">
    <cfRule type="cellIs" dxfId="170" priority="62" operator="greaterThan">
      <formula>$G$41</formula>
    </cfRule>
  </conditionalFormatting>
  <conditionalFormatting sqref="H42">
    <cfRule type="cellIs" dxfId="169" priority="61" operator="greaterThan">
      <formula>$G$42</formula>
    </cfRule>
  </conditionalFormatting>
  <conditionalFormatting sqref="H43">
    <cfRule type="cellIs" dxfId="168" priority="60" operator="greaterThan">
      <formula>$G$43</formula>
    </cfRule>
  </conditionalFormatting>
  <conditionalFormatting sqref="H44">
    <cfRule type="cellIs" dxfId="167" priority="59" operator="greaterThan">
      <formula>$G$44</formula>
    </cfRule>
  </conditionalFormatting>
  <conditionalFormatting sqref="H45">
    <cfRule type="cellIs" dxfId="166" priority="58" operator="greaterThan">
      <formula>$G$45</formula>
    </cfRule>
  </conditionalFormatting>
  <conditionalFormatting sqref="H46">
    <cfRule type="cellIs" dxfId="165" priority="57" operator="greaterThan">
      <formula>$G$46</formula>
    </cfRule>
  </conditionalFormatting>
  <conditionalFormatting sqref="H47">
    <cfRule type="cellIs" dxfId="164" priority="56" operator="greaterThan">
      <formula>$G$47</formula>
    </cfRule>
  </conditionalFormatting>
  <conditionalFormatting sqref="H48">
    <cfRule type="cellIs" dxfId="163" priority="55" operator="greaterThan">
      <formula>$G$48</formula>
    </cfRule>
  </conditionalFormatting>
  <conditionalFormatting sqref="H49">
    <cfRule type="cellIs" dxfId="162" priority="54" operator="greaterThan">
      <formula>$G$49</formula>
    </cfRule>
  </conditionalFormatting>
  <conditionalFormatting sqref="H50">
    <cfRule type="cellIs" dxfId="161" priority="53" operator="greaterThan">
      <formula>$G$50</formula>
    </cfRule>
  </conditionalFormatting>
  <conditionalFormatting sqref="H51">
    <cfRule type="cellIs" dxfId="160" priority="52" operator="greaterThan">
      <formula>$G$51</formula>
    </cfRule>
  </conditionalFormatting>
  <conditionalFormatting sqref="H52">
    <cfRule type="cellIs" dxfId="159" priority="51" operator="greaterThan">
      <formula>$G$52</formula>
    </cfRule>
  </conditionalFormatting>
  <conditionalFormatting sqref="H53">
    <cfRule type="cellIs" dxfId="158" priority="50" operator="greaterThan">
      <formula>$G$53</formula>
    </cfRule>
  </conditionalFormatting>
  <conditionalFormatting sqref="H54">
    <cfRule type="cellIs" dxfId="157" priority="49" operator="greaterThan">
      <formula>$G$54</formula>
    </cfRule>
  </conditionalFormatting>
  <conditionalFormatting sqref="H55">
    <cfRule type="cellIs" dxfId="156" priority="48" operator="greaterThan">
      <formula>$G$55</formula>
    </cfRule>
  </conditionalFormatting>
  <conditionalFormatting sqref="H56">
    <cfRule type="cellIs" dxfId="155" priority="47" operator="greaterThan">
      <formula>$G$56</formula>
    </cfRule>
  </conditionalFormatting>
  <conditionalFormatting sqref="H57">
    <cfRule type="cellIs" dxfId="154" priority="46" operator="greaterThan">
      <formula>$G$57</formula>
    </cfRule>
  </conditionalFormatting>
  <conditionalFormatting sqref="H58">
    <cfRule type="cellIs" dxfId="153" priority="45" operator="greaterThan">
      <formula>$G$58</formula>
    </cfRule>
  </conditionalFormatting>
  <conditionalFormatting sqref="H59">
    <cfRule type="cellIs" dxfId="152" priority="44" operator="greaterThan">
      <formula>$G$59</formula>
    </cfRule>
  </conditionalFormatting>
  <conditionalFormatting sqref="H60">
    <cfRule type="cellIs" dxfId="151" priority="43" operator="greaterThan">
      <formula>$G$60</formula>
    </cfRule>
  </conditionalFormatting>
  <conditionalFormatting sqref="H61">
    <cfRule type="cellIs" dxfId="150" priority="42" operator="greaterThan">
      <formula>$G$61</formula>
    </cfRule>
  </conditionalFormatting>
  <conditionalFormatting sqref="H62">
    <cfRule type="cellIs" dxfId="149" priority="41" operator="greaterThan">
      <formula>$G$62</formula>
    </cfRule>
  </conditionalFormatting>
  <conditionalFormatting sqref="H63">
    <cfRule type="cellIs" dxfId="148" priority="40" operator="greaterThan">
      <formula>$G$63</formula>
    </cfRule>
  </conditionalFormatting>
  <conditionalFormatting sqref="H64">
    <cfRule type="cellIs" dxfId="147" priority="39" operator="greaterThan">
      <formula>$G$64</formula>
    </cfRule>
  </conditionalFormatting>
  <conditionalFormatting sqref="I31">
    <cfRule type="cellIs" dxfId="146" priority="38" operator="lessThan">
      <formula>0</formula>
    </cfRule>
  </conditionalFormatting>
  <conditionalFormatting sqref="I32">
    <cfRule type="cellIs" dxfId="145" priority="37" operator="lessThan">
      <formula>0</formula>
    </cfRule>
  </conditionalFormatting>
  <conditionalFormatting sqref="I33">
    <cfRule type="cellIs" dxfId="144" priority="36" operator="lessThan">
      <formula>0</formula>
    </cfRule>
  </conditionalFormatting>
  <conditionalFormatting sqref="I34">
    <cfRule type="cellIs" dxfId="143" priority="35" operator="lessThan">
      <formula>0</formula>
    </cfRule>
  </conditionalFormatting>
  <conditionalFormatting sqref="I36">
    <cfRule type="cellIs" dxfId="142" priority="34" operator="lessThan">
      <formula>0</formula>
    </cfRule>
  </conditionalFormatting>
  <conditionalFormatting sqref="I37">
    <cfRule type="cellIs" dxfId="141" priority="33" operator="lessThan">
      <formula>0</formula>
    </cfRule>
  </conditionalFormatting>
  <conditionalFormatting sqref="I38">
    <cfRule type="cellIs" dxfId="140" priority="32" operator="lessThan">
      <formula>0</formula>
    </cfRule>
  </conditionalFormatting>
  <conditionalFormatting sqref="I39">
    <cfRule type="cellIs" dxfId="139" priority="31" operator="lessThan">
      <formula>0</formula>
    </cfRule>
  </conditionalFormatting>
  <conditionalFormatting sqref="I40">
    <cfRule type="cellIs" dxfId="138" priority="30" operator="lessThan">
      <formula>0</formula>
    </cfRule>
  </conditionalFormatting>
  <conditionalFormatting sqref="I41">
    <cfRule type="cellIs" dxfId="137" priority="29" operator="lessThan">
      <formula>0</formula>
    </cfRule>
  </conditionalFormatting>
  <conditionalFormatting sqref="I42">
    <cfRule type="cellIs" dxfId="136" priority="28" operator="lessThan">
      <formula>0</formula>
    </cfRule>
  </conditionalFormatting>
  <conditionalFormatting sqref="I43">
    <cfRule type="cellIs" dxfId="135" priority="27" operator="lessThan">
      <formula>0</formula>
    </cfRule>
  </conditionalFormatting>
  <conditionalFormatting sqref="I44">
    <cfRule type="cellIs" dxfId="134" priority="26" operator="lessThan">
      <formula>0</formula>
    </cfRule>
  </conditionalFormatting>
  <conditionalFormatting sqref="I45">
    <cfRule type="cellIs" dxfId="133" priority="25" operator="lessThan">
      <formula>0</formula>
    </cfRule>
  </conditionalFormatting>
  <conditionalFormatting sqref="I46">
    <cfRule type="cellIs" dxfId="132" priority="24" operator="lessThan">
      <formula>0</formula>
    </cfRule>
  </conditionalFormatting>
  <conditionalFormatting sqref="I47">
    <cfRule type="cellIs" dxfId="131" priority="23" operator="lessThan">
      <formula>0</formula>
    </cfRule>
  </conditionalFormatting>
  <conditionalFormatting sqref="I48">
    <cfRule type="cellIs" dxfId="130" priority="22" operator="lessThan">
      <formula>0</formula>
    </cfRule>
  </conditionalFormatting>
  <conditionalFormatting sqref="I49">
    <cfRule type="cellIs" dxfId="129" priority="21" operator="lessThan">
      <formula>0</formula>
    </cfRule>
  </conditionalFormatting>
  <conditionalFormatting sqref="I50">
    <cfRule type="cellIs" dxfId="128" priority="20" operator="lessThan">
      <formula>0</formula>
    </cfRule>
  </conditionalFormatting>
  <conditionalFormatting sqref="I51">
    <cfRule type="cellIs" dxfId="127" priority="19" operator="lessThan">
      <formula>0</formula>
    </cfRule>
  </conditionalFormatting>
  <conditionalFormatting sqref="I52">
    <cfRule type="cellIs" dxfId="126" priority="18" operator="lessThan">
      <formula>0</formula>
    </cfRule>
  </conditionalFormatting>
  <conditionalFormatting sqref="I53">
    <cfRule type="cellIs" dxfId="125" priority="17" operator="lessThan">
      <formula>0</formula>
    </cfRule>
  </conditionalFormatting>
  <conditionalFormatting sqref="I54">
    <cfRule type="cellIs" dxfId="124" priority="16" operator="lessThan">
      <formula>0</formula>
    </cfRule>
  </conditionalFormatting>
  <conditionalFormatting sqref="I55">
    <cfRule type="cellIs" dxfId="123" priority="15" operator="lessThan">
      <formula>0</formula>
    </cfRule>
  </conditionalFormatting>
  <conditionalFormatting sqref="I56">
    <cfRule type="cellIs" dxfId="122" priority="14" operator="lessThan">
      <formula>0</formula>
    </cfRule>
  </conditionalFormatting>
  <conditionalFormatting sqref="I57">
    <cfRule type="cellIs" dxfId="121" priority="13" operator="lessThan">
      <formula>0</formula>
    </cfRule>
  </conditionalFormatting>
  <conditionalFormatting sqref="I58">
    <cfRule type="cellIs" dxfId="120" priority="12" operator="lessThan">
      <formula>0</formula>
    </cfRule>
  </conditionalFormatting>
  <conditionalFormatting sqref="I59">
    <cfRule type="cellIs" dxfId="119" priority="11" operator="lessThan">
      <formula>0</formula>
    </cfRule>
  </conditionalFormatting>
  <conditionalFormatting sqref="I60">
    <cfRule type="cellIs" dxfId="118" priority="10" operator="lessThan">
      <formula>0</formula>
    </cfRule>
  </conditionalFormatting>
  <conditionalFormatting sqref="I61">
    <cfRule type="cellIs" dxfId="117" priority="9" operator="lessThan">
      <formula>0</formula>
    </cfRule>
  </conditionalFormatting>
  <conditionalFormatting sqref="I62">
    <cfRule type="cellIs" dxfId="116" priority="8" operator="lessThan">
      <formula>0</formula>
    </cfRule>
  </conditionalFormatting>
  <conditionalFormatting sqref="I63">
    <cfRule type="cellIs" dxfId="115" priority="7" operator="lessThan">
      <formula>0</formula>
    </cfRule>
  </conditionalFormatting>
  <conditionalFormatting sqref="I64">
    <cfRule type="cellIs" dxfId="114" priority="6" operator="lessThan">
      <formula>0</formula>
    </cfRule>
  </conditionalFormatting>
  <conditionalFormatting sqref="I65">
    <cfRule type="cellIs" dxfId="113" priority="5" operator="lessThan">
      <formula>0</formula>
    </cfRule>
  </conditionalFormatting>
  <conditionalFormatting sqref="F26:G26">
    <cfRule type="cellIs" dxfId="112" priority="4" operator="greaterThan">
      <formula>$C$9</formula>
    </cfRule>
  </conditionalFormatting>
  <conditionalFormatting sqref="H26">
    <cfRule type="cellIs" dxfId="111" priority="3" operator="greaterThan">
      <formula>$F$26</formula>
    </cfRule>
  </conditionalFormatting>
  <conditionalFormatting sqref="E65:F65">
    <cfRule type="cellIs" dxfId="110" priority="2" operator="greaterThan">
      <formula>$C$9</formula>
    </cfRule>
  </conditionalFormatting>
  <conditionalFormatting sqref="G65">
    <cfRule type="cellIs" dxfId="109" priority="1" operator="greaterThan">
      <formula>$E$65</formula>
    </cfRule>
  </conditionalFormatting>
  <dataValidations count="5">
    <dataValidation type="list" allowBlank="1" showInputMessage="1" showErrorMessage="1" sqref="N31:N80">
      <formula1>"일반활동비,홍보인쇄비,소모품구입비,임차비,여비,식비및다과비,회의비,원고비,강사비,공연비,견학비,인터넷통신우편비"</formula1>
    </dataValidation>
    <dataValidation type="list" allowBlank="1" showInputMessage="1" showErrorMessage="1" sqref="Q31:Q80">
      <formula1>"체크카드,계좌이체"</formula1>
    </dataValidation>
    <dataValidation type="list" allowBlank="1" showInputMessage="1" showErrorMessage="1" sqref="M31:M80">
      <formula1>"세부사업 1, 세부사업 2, 세부사업 3"</formula1>
    </dataValidation>
    <dataValidation type="list" allowBlank="1" showInputMessage="1" showErrorMessage="1" sqref="C5">
      <formula1>"씨앗,줄기,열매,자율의제"</formula1>
    </dataValidation>
    <dataValidation type="list" allowBlank="1" showInputMessage="1" showErrorMessage="1" sqref="C31:C32 C43 C54">
      <formula1>"활동비,사업운영비"</formula1>
    </dataValidation>
  </dataValidations>
  <pageMargins left="0.7" right="0.7" top="0.75" bottom="0.75" header="0.3" footer="0.3"/>
  <pageSetup paperSize="9" orientation="portrait" r:id="rId1"/>
  <ignoredErrors>
    <ignoredError sqref="F10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05"/>
  <sheetViews>
    <sheetView showGridLines="0" showZeros="0" zoomScaleNormal="100" workbookViewId="0">
      <selection activeCell="F15" sqref="F15"/>
    </sheetView>
  </sheetViews>
  <sheetFormatPr defaultRowHeight="16.5"/>
  <cols>
    <col min="1" max="1" width="2.875" style="106" customWidth="1"/>
    <col min="2" max="2" width="15.625" style="106" customWidth="1"/>
    <col min="3" max="3" width="17.375" style="106" customWidth="1"/>
    <col min="4" max="4" width="16" style="106" customWidth="1"/>
    <col min="5" max="5" width="15.625" style="1" customWidth="1"/>
    <col min="6" max="7" width="15.625" style="106" customWidth="1"/>
    <col min="8" max="8" width="15.625" style="1" customWidth="1"/>
    <col min="9" max="17" width="15.625" style="106" customWidth="1"/>
    <col min="18" max="18" width="46.875" style="106" customWidth="1"/>
    <col min="19" max="19" width="41" style="106" customWidth="1"/>
    <col min="20" max="16384" width="9" style="106"/>
  </cols>
  <sheetData>
    <row r="1" spans="2:11">
      <c r="B1" s="105"/>
    </row>
    <row r="2" spans="2:11" ht="54.75" customHeight="1">
      <c r="B2" s="107"/>
      <c r="C2" s="157" t="s">
        <v>42</v>
      </c>
      <c r="D2" s="158"/>
      <c r="E2" s="158"/>
      <c r="F2" s="158"/>
      <c r="G2" s="158"/>
      <c r="H2" s="158"/>
      <c r="K2" s="108"/>
    </row>
    <row r="3" spans="2:11" ht="48" customHeight="1">
      <c r="B3" s="159" t="s">
        <v>122</v>
      </c>
      <c r="C3" s="160"/>
      <c r="D3" s="160"/>
      <c r="E3" s="160"/>
      <c r="F3" s="160"/>
      <c r="G3" s="160"/>
      <c r="K3" s="108"/>
    </row>
    <row r="4" spans="2:11" ht="20.100000000000001" customHeight="1">
      <c r="B4" s="2" t="s">
        <v>38</v>
      </c>
      <c r="C4" s="109" t="s">
        <v>89</v>
      </c>
      <c r="D4" s="3"/>
      <c r="E4" s="3"/>
      <c r="F4" s="3"/>
      <c r="G4" s="3"/>
      <c r="K4" s="108"/>
    </row>
    <row r="5" spans="2:11" ht="24.95" customHeight="1">
      <c r="B5" s="4" t="s">
        <v>31</v>
      </c>
      <c r="C5" s="5" t="s">
        <v>110</v>
      </c>
      <c r="D5" s="4" t="s">
        <v>44</v>
      </c>
      <c r="E5" s="5" t="s">
        <v>111</v>
      </c>
      <c r="F5" s="4" t="s">
        <v>33</v>
      </c>
      <c r="G5" s="5" t="s">
        <v>112</v>
      </c>
      <c r="I5" s="110"/>
      <c r="J5" s="1"/>
      <c r="K5" s="108"/>
    </row>
    <row r="6" spans="2:11" s="110" customFormat="1" ht="24.95" customHeight="1">
      <c r="B6" s="6" t="s">
        <v>32</v>
      </c>
      <c r="C6" s="188" t="s">
        <v>113</v>
      </c>
      <c r="D6" s="188"/>
      <c r="E6" s="6" t="s">
        <v>36</v>
      </c>
      <c r="F6" s="188" t="s">
        <v>114</v>
      </c>
      <c r="G6" s="188"/>
      <c r="H6" s="11"/>
    </row>
    <row r="7" spans="2:11" s="110" customFormat="1" ht="15" customHeight="1">
      <c r="B7" s="7"/>
      <c r="C7" s="162"/>
      <c r="D7" s="162"/>
      <c r="E7" s="8"/>
      <c r="F7" s="162"/>
      <c r="G7" s="162"/>
      <c r="H7" s="9"/>
      <c r="I7" s="10"/>
      <c r="J7" s="11"/>
    </row>
    <row r="8" spans="2:11" s="110" customFormat="1" ht="20.100000000000001" customHeight="1">
      <c r="B8" s="163" t="s">
        <v>37</v>
      </c>
      <c r="C8" s="163"/>
      <c r="D8" s="109" t="s">
        <v>40</v>
      </c>
      <c r="E8" s="12"/>
      <c r="F8" s="13"/>
      <c r="G8" s="13"/>
      <c r="H8" s="9"/>
      <c r="I8" s="10"/>
      <c r="J8" s="11"/>
    </row>
    <row r="9" spans="2:11" s="110" customFormat="1" ht="24.95" customHeight="1">
      <c r="B9" s="6" t="s">
        <v>99</v>
      </c>
      <c r="C9" s="189">
        <v>2000000</v>
      </c>
      <c r="D9" s="190"/>
      <c r="E9" s="24" t="s">
        <v>100</v>
      </c>
      <c r="F9" s="166">
        <f>SUM(P30:P220)</f>
        <v>2000000</v>
      </c>
      <c r="G9" s="167"/>
      <c r="H9" s="14"/>
      <c r="I9" s="168"/>
      <c r="J9" s="168"/>
    </row>
    <row r="10" spans="2:11" s="110" customFormat="1" ht="24.95" customHeight="1">
      <c r="B10" s="24" t="s">
        <v>97</v>
      </c>
      <c r="C10" s="166">
        <f>C9-F9</f>
        <v>0</v>
      </c>
      <c r="D10" s="167"/>
      <c r="E10" s="24" t="s">
        <v>98</v>
      </c>
      <c r="F10" s="169">
        <f>F9/C9</f>
        <v>1</v>
      </c>
      <c r="G10" s="170"/>
      <c r="H10" s="49" t="s">
        <v>119</v>
      </c>
      <c r="I10" s="57"/>
      <c r="J10" s="57"/>
    </row>
    <row r="11" spans="2:11" s="110" customFormat="1" ht="15" customHeight="1">
      <c r="B11" s="8"/>
      <c r="C11" s="162"/>
      <c r="D11" s="162"/>
      <c r="E11" s="8"/>
      <c r="F11" s="162"/>
      <c r="G11" s="162"/>
      <c r="H11" s="9"/>
      <c r="I11" s="10"/>
      <c r="J11" s="11"/>
    </row>
    <row r="12" spans="2:11" ht="21.75" customHeight="1" thickBot="1">
      <c r="B12" s="163" t="s">
        <v>39</v>
      </c>
      <c r="C12" s="163"/>
      <c r="D12" s="174" t="s">
        <v>41</v>
      </c>
      <c r="E12" s="174"/>
      <c r="F12" s="3"/>
      <c r="G12" s="3"/>
      <c r="K12" s="108"/>
    </row>
    <row r="13" spans="2:11" s="110" customFormat="1" ht="35.25" customHeight="1" thickBot="1">
      <c r="B13" s="41" t="s">
        <v>90</v>
      </c>
      <c r="C13" s="42" t="s">
        <v>91</v>
      </c>
      <c r="D13" s="42" t="s">
        <v>104</v>
      </c>
      <c r="E13" s="76" t="s">
        <v>19</v>
      </c>
      <c r="F13" s="71" t="s">
        <v>105</v>
      </c>
      <c r="G13" s="89" t="s">
        <v>106</v>
      </c>
      <c r="H13" s="90" t="s">
        <v>118</v>
      </c>
      <c r="I13" s="71" t="s">
        <v>103</v>
      </c>
      <c r="J13" s="63" t="s">
        <v>101</v>
      </c>
    </row>
    <row r="14" spans="2:11" s="110" customFormat="1" ht="18" customHeight="1" thickBot="1">
      <c r="B14" s="67" t="s">
        <v>6</v>
      </c>
      <c r="C14" s="96" t="s">
        <v>92</v>
      </c>
      <c r="D14" s="68">
        <f>IF(C14="일반활동비",20%)</f>
        <v>0.2</v>
      </c>
      <c r="E14" s="69">
        <f>$C$9*D14</f>
        <v>400000</v>
      </c>
      <c r="F14" s="70">
        <f>SUMIF($D$31:$D$64,C14,$E$31:$E$64)</f>
        <v>400000</v>
      </c>
      <c r="G14" s="127">
        <f>SUMIF($D$31:$D$64,C14,$F$31:$F$64)</f>
        <v>0</v>
      </c>
      <c r="H14" s="91">
        <f t="shared" ref="H14:H25" si="0">F14+G14</f>
        <v>400000</v>
      </c>
      <c r="I14" s="95">
        <f>SUMIF($D$31:$D$64,C14,$H$31:$H$64)</f>
        <v>450000</v>
      </c>
      <c r="J14" s="111">
        <f>H14-I14</f>
        <v>-50000</v>
      </c>
      <c r="K14" s="49" t="s">
        <v>121</v>
      </c>
    </row>
    <row r="15" spans="2:11" s="110" customFormat="1" ht="15.95" customHeight="1">
      <c r="B15" s="175" t="s">
        <v>5</v>
      </c>
      <c r="C15" s="97" t="s">
        <v>93</v>
      </c>
      <c r="D15" s="35"/>
      <c r="E15" s="36"/>
      <c r="F15" s="65">
        <f>SUMIF($D$31:$D$64,C15,$E$31:$E$64)</f>
        <v>430000</v>
      </c>
      <c r="G15" s="128">
        <f>SUMIF($D$31:$D$64,C15,$F$31:$F$64)</f>
        <v>-50000</v>
      </c>
      <c r="H15" s="92">
        <f t="shared" si="0"/>
        <v>380000</v>
      </c>
      <c r="I15" s="65">
        <f t="shared" ref="I15:I25" si="1">SUMIF($D$31:$D$64,C15,$H$31:$H$64)</f>
        <v>380000</v>
      </c>
      <c r="J15" s="112">
        <f>H15-I15</f>
        <v>0</v>
      </c>
    </row>
    <row r="16" spans="2:11" s="110" customFormat="1" ht="15.95" customHeight="1">
      <c r="B16" s="175"/>
      <c r="C16" s="98" t="s">
        <v>8</v>
      </c>
      <c r="D16" s="35"/>
      <c r="E16" s="36"/>
      <c r="F16" s="60">
        <f>SUMIF($D$31:$D$64,C16,$E$31:$E$64)</f>
        <v>282000</v>
      </c>
      <c r="G16" s="128">
        <f t="shared" ref="G16:G25" si="2">SUMIF($D$31:$D$64,C16,$F$31:$F$64)</f>
        <v>0</v>
      </c>
      <c r="H16" s="93">
        <f t="shared" si="0"/>
        <v>282000</v>
      </c>
      <c r="I16" s="60">
        <f t="shared" si="1"/>
        <v>282000</v>
      </c>
      <c r="J16" s="112">
        <f t="shared" ref="J16:J25" si="3">H16-I16</f>
        <v>0</v>
      </c>
    </row>
    <row r="17" spans="2:19" s="110" customFormat="1" ht="15.95" customHeight="1">
      <c r="B17" s="175"/>
      <c r="C17" s="98" t="s">
        <v>9</v>
      </c>
      <c r="D17" s="35"/>
      <c r="E17" s="36"/>
      <c r="F17" s="60">
        <f>SUMIF($D$31:$D$64,C17,$E$31:$E$64)</f>
        <v>0</v>
      </c>
      <c r="G17" s="128">
        <f t="shared" si="2"/>
        <v>0</v>
      </c>
      <c r="H17" s="93">
        <f t="shared" si="0"/>
        <v>0</v>
      </c>
      <c r="I17" s="60">
        <f t="shared" si="1"/>
        <v>0</v>
      </c>
      <c r="J17" s="112">
        <f>H17-I17</f>
        <v>0</v>
      </c>
    </row>
    <row r="18" spans="2:19" s="110" customFormat="1" ht="15.95" customHeight="1">
      <c r="B18" s="175"/>
      <c r="C18" s="99" t="s">
        <v>10</v>
      </c>
      <c r="D18" s="35"/>
      <c r="E18" s="36"/>
      <c r="F18" s="60">
        <f>SUMIF($D$31:$D$64,C18,$E$31:$E$64)</f>
        <v>0</v>
      </c>
      <c r="G18" s="128">
        <f t="shared" si="2"/>
        <v>0</v>
      </c>
      <c r="H18" s="93">
        <f t="shared" si="0"/>
        <v>0</v>
      </c>
      <c r="I18" s="60">
        <f t="shared" si="1"/>
        <v>0</v>
      </c>
      <c r="J18" s="112">
        <f t="shared" si="3"/>
        <v>0</v>
      </c>
    </row>
    <row r="19" spans="2:19" s="110" customFormat="1" ht="15.95" customHeight="1">
      <c r="B19" s="175"/>
      <c r="C19" s="100" t="s">
        <v>11</v>
      </c>
      <c r="D19" s="38">
        <f>IF(C9&lt;2000000,40%,30%)</f>
        <v>0.3</v>
      </c>
      <c r="E19" s="39">
        <f>$C$9*D19</f>
        <v>600000</v>
      </c>
      <c r="F19" s="60">
        <f t="shared" ref="F19:F25" si="4">SUMIF($D$31:$D$64,C19,$E$31:$E$64)</f>
        <v>468000</v>
      </c>
      <c r="G19" s="128">
        <f t="shared" si="2"/>
        <v>50000</v>
      </c>
      <c r="H19" s="93">
        <f t="shared" si="0"/>
        <v>518000</v>
      </c>
      <c r="I19" s="60">
        <f t="shared" si="1"/>
        <v>468000</v>
      </c>
      <c r="J19" s="112">
        <f t="shared" si="3"/>
        <v>50000</v>
      </c>
    </row>
    <row r="20" spans="2:19" s="110" customFormat="1" ht="15.95" customHeight="1">
      <c r="B20" s="175"/>
      <c r="C20" s="99" t="s">
        <v>12</v>
      </c>
      <c r="D20" s="40">
        <f>IF(C20="회의비",20%)</f>
        <v>0.2</v>
      </c>
      <c r="E20" s="39">
        <f>$C$9*D20</f>
        <v>400000</v>
      </c>
      <c r="F20" s="60">
        <f t="shared" si="4"/>
        <v>100000</v>
      </c>
      <c r="G20" s="128">
        <f>SUMIF($D$31:$D$64,C20,$F$31:$F$64)</f>
        <v>0</v>
      </c>
      <c r="H20" s="93">
        <f t="shared" si="0"/>
        <v>100000</v>
      </c>
      <c r="I20" s="60">
        <f t="shared" si="1"/>
        <v>100000</v>
      </c>
      <c r="J20" s="112">
        <f t="shared" si="3"/>
        <v>0</v>
      </c>
    </row>
    <row r="21" spans="2:19" s="110" customFormat="1" ht="15.95" customHeight="1">
      <c r="B21" s="175"/>
      <c r="C21" s="99" t="s">
        <v>13</v>
      </c>
      <c r="D21" s="35"/>
      <c r="E21" s="36"/>
      <c r="F21" s="60">
        <f t="shared" si="4"/>
        <v>0</v>
      </c>
      <c r="G21" s="128">
        <f t="shared" si="2"/>
        <v>0</v>
      </c>
      <c r="H21" s="93">
        <f t="shared" si="0"/>
        <v>0</v>
      </c>
      <c r="I21" s="60">
        <f t="shared" si="1"/>
        <v>0</v>
      </c>
      <c r="J21" s="112">
        <f t="shared" si="3"/>
        <v>0</v>
      </c>
    </row>
    <row r="22" spans="2:19" s="110" customFormat="1" ht="15.95" customHeight="1">
      <c r="B22" s="175"/>
      <c r="C22" s="101" t="s">
        <v>28</v>
      </c>
      <c r="D22" s="35"/>
      <c r="E22" s="36"/>
      <c r="F22" s="60">
        <f t="shared" si="4"/>
        <v>120000</v>
      </c>
      <c r="G22" s="128">
        <f t="shared" si="2"/>
        <v>0</v>
      </c>
      <c r="H22" s="93">
        <f t="shared" si="0"/>
        <v>120000</v>
      </c>
      <c r="I22" s="60">
        <f t="shared" si="1"/>
        <v>120000</v>
      </c>
      <c r="J22" s="112">
        <f t="shared" si="3"/>
        <v>0</v>
      </c>
    </row>
    <row r="23" spans="2:19" s="110" customFormat="1" ht="15.95" customHeight="1">
      <c r="B23" s="175"/>
      <c r="C23" s="102" t="s">
        <v>15</v>
      </c>
      <c r="D23" s="40">
        <f>IF(C23="공연비",10%)</f>
        <v>0.1</v>
      </c>
      <c r="E23" s="39">
        <f>$C$9*D23</f>
        <v>200000</v>
      </c>
      <c r="F23" s="60">
        <f t="shared" si="4"/>
        <v>200000</v>
      </c>
      <c r="G23" s="128">
        <f t="shared" si="2"/>
        <v>0</v>
      </c>
      <c r="H23" s="93">
        <f t="shared" si="0"/>
        <v>200000</v>
      </c>
      <c r="I23" s="60">
        <f t="shared" si="1"/>
        <v>200000</v>
      </c>
      <c r="J23" s="112">
        <f t="shared" si="3"/>
        <v>0</v>
      </c>
    </row>
    <row r="24" spans="2:19" s="110" customFormat="1" ht="15.95" customHeight="1">
      <c r="B24" s="175"/>
      <c r="C24" s="103" t="s">
        <v>16</v>
      </c>
      <c r="D24" s="35"/>
      <c r="E24" s="36"/>
      <c r="F24" s="60">
        <f t="shared" si="4"/>
        <v>0</v>
      </c>
      <c r="G24" s="128">
        <f t="shared" si="2"/>
        <v>0</v>
      </c>
      <c r="H24" s="93">
        <f t="shared" si="0"/>
        <v>0</v>
      </c>
      <c r="I24" s="60">
        <f t="shared" si="1"/>
        <v>0</v>
      </c>
      <c r="J24" s="112">
        <f t="shared" si="3"/>
        <v>0</v>
      </c>
    </row>
    <row r="25" spans="2:19" s="110" customFormat="1" ht="18" customHeight="1" thickBot="1">
      <c r="B25" s="176"/>
      <c r="C25" s="104" t="s">
        <v>17</v>
      </c>
      <c r="D25" s="35"/>
      <c r="E25" s="36"/>
      <c r="F25" s="60">
        <f t="shared" si="4"/>
        <v>0</v>
      </c>
      <c r="G25" s="128">
        <f t="shared" si="2"/>
        <v>0</v>
      </c>
      <c r="H25" s="93">
        <f t="shared" si="0"/>
        <v>0</v>
      </c>
      <c r="I25" s="66">
        <f t="shared" si="1"/>
        <v>0</v>
      </c>
      <c r="J25" s="112">
        <f t="shared" si="3"/>
        <v>0</v>
      </c>
    </row>
    <row r="26" spans="2:19" s="110" customFormat="1" ht="24" customHeight="1" thickBot="1">
      <c r="B26" s="177" t="s">
        <v>29</v>
      </c>
      <c r="C26" s="178"/>
      <c r="D26" s="178"/>
      <c r="E26" s="178"/>
      <c r="F26" s="61">
        <f>SUM(F14:F25)</f>
        <v>2000000</v>
      </c>
      <c r="G26" s="61">
        <f>SUM(G14:G25)</f>
        <v>0</v>
      </c>
      <c r="H26" s="94">
        <f>SUM(H14:H25)</f>
        <v>2000000</v>
      </c>
      <c r="I26" s="61">
        <f>SUM(I14:I25)</f>
        <v>2000000</v>
      </c>
      <c r="J26" s="50">
        <f>SUM(J14:J25)</f>
        <v>0</v>
      </c>
    </row>
    <row r="27" spans="2:19" s="110" customFormat="1" ht="15" customHeight="1">
      <c r="B27" s="8"/>
      <c r="C27" s="162"/>
      <c r="D27" s="162"/>
      <c r="E27" s="8"/>
      <c r="F27" s="162"/>
      <c r="G27" s="162"/>
      <c r="H27" s="9"/>
      <c r="I27" s="10"/>
      <c r="J27" s="11"/>
    </row>
    <row r="28" spans="2:19" s="110" customFormat="1" ht="15" customHeight="1">
      <c r="B28" s="14"/>
      <c r="C28" s="88"/>
      <c r="D28" s="88"/>
      <c r="E28" s="14"/>
      <c r="F28" s="88"/>
      <c r="G28" s="88"/>
      <c r="H28" s="9"/>
      <c r="I28" s="10"/>
      <c r="J28" s="11"/>
    </row>
    <row r="29" spans="2:19" ht="21.75" customHeight="1" thickBot="1">
      <c r="B29" s="163" t="s">
        <v>52</v>
      </c>
      <c r="C29" s="163"/>
      <c r="D29" s="180" t="s">
        <v>120</v>
      </c>
      <c r="E29" s="180"/>
      <c r="F29" s="180"/>
      <c r="G29" s="180"/>
      <c r="H29" s="180"/>
      <c r="I29" s="180"/>
      <c r="J29" s="113"/>
      <c r="K29" s="171" t="s">
        <v>51</v>
      </c>
      <c r="L29" s="171"/>
      <c r="M29" s="114" t="s">
        <v>40</v>
      </c>
      <c r="O29" s="105"/>
      <c r="P29" s="115"/>
      <c r="R29" s="105"/>
      <c r="S29" s="105"/>
    </row>
    <row r="30" spans="2:19" s="110" customFormat="1" ht="37.5" customHeight="1" thickBot="1">
      <c r="B30" s="41" t="s">
        <v>90</v>
      </c>
      <c r="C30" s="42" t="s">
        <v>91</v>
      </c>
      <c r="D30" s="42" t="s">
        <v>94</v>
      </c>
      <c r="E30" s="71" t="s">
        <v>108</v>
      </c>
      <c r="F30" s="71" t="s">
        <v>116</v>
      </c>
      <c r="G30" s="71" t="s">
        <v>115</v>
      </c>
      <c r="H30" s="71" t="s">
        <v>117</v>
      </c>
      <c r="I30" s="63" t="s">
        <v>102</v>
      </c>
      <c r="K30" s="15" t="s">
        <v>95</v>
      </c>
      <c r="L30" s="16" t="s">
        <v>45</v>
      </c>
      <c r="M30" s="51" t="s">
        <v>50</v>
      </c>
      <c r="N30" s="52" t="s">
        <v>49</v>
      </c>
      <c r="O30" s="16" t="s">
        <v>35</v>
      </c>
      <c r="P30" s="16" t="s">
        <v>46</v>
      </c>
      <c r="Q30" s="51" t="s">
        <v>48</v>
      </c>
      <c r="R30" s="17" t="s">
        <v>47</v>
      </c>
    </row>
    <row r="31" spans="2:19" ht="15" customHeight="1" thickBot="1">
      <c r="B31" s="43" t="s">
        <v>21</v>
      </c>
      <c r="C31" s="44" t="s">
        <v>20</v>
      </c>
      <c r="D31" s="45" t="s">
        <v>2</v>
      </c>
      <c r="E31" s="64">
        <v>400000</v>
      </c>
      <c r="F31" s="122">
        <v>0</v>
      </c>
      <c r="G31" s="47">
        <f>E31+F31</f>
        <v>400000</v>
      </c>
      <c r="H31" s="62">
        <f>SUMIF(N:N,D31,P:P)</f>
        <v>450000</v>
      </c>
      <c r="I31" s="111">
        <f>G31-H31</f>
        <v>-50000</v>
      </c>
      <c r="K31" s="31">
        <v>1</v>
      </c>
      <c r="L31" s="25">
        <v>45422</v>
      </c>
      <c r="M31" s="53" t="s">
        <v>18</v>
      </c>
      <c r="N31" s="53" t="s">
        <v>30</v>
      </c>
      <c r="O31" s="26" t="s">
        <v>53</v>
      </c>
      <c r="P31" s="27">
        <v>80000</v>
      </c>
      <c r="Q31" s="53" t="s">
        <v>3</v>
      </c>
      <c r="R31" s="26" t="s">
        <v>54</v>
      </c>
    </row>
    <row r="32" spans="2:19" ht="15" customHeight="1">
      <c r="B32" s="172" t="s">
        <v>43</v>
      </c>
      <c r="C32" s="173" t="s">
        <v>24</v>
      </c>
      <c r="D32" s="34" t="s">
        <v>7</v>
      </c>
      <c r="E32" s="77">
        <v>130000</v>
      </c>
      <c r="F32" s="123">
        <v>-50000</v>
      </c>
      <c r="G32" s="72">
        <f>E32+F32</f>
        <v>80000</v>
      </c>
      <c r="H32" s="78">
        <f t="shared" ref="H32:H42" si="5">SUMIFS(P:P,M:M,"세부사업 1",N:N,D32)</f>
        <v>80000</v>
      </c>
      <c r="I32" s="116">
        <f>G32-H32</f>
        <v>0</v>
      </c>
      <c r="K32" s="31">
        <v>2</v>
      </c>
      <c r="L32" s="28">
        <v>45427</v>
      </c>
      <c r="M32" s="54" t="s">
        <v>18</v>
      </c>
      <c r="N32" s="54" t="s">
        <v>26</v>
      </c>
      <c r="O32" s="29" t="s">
        <v>55</v>
      </c>
      <c r="P32" s="30">
        <v>70000</v>
      </c>
      <c r="Q32" s="54" t="s">
        <v>3</v>
      </c>
      <c r="R32" s="29" t="s">
        <v>57</v>
      </c>
    </row>
    <row r="33" spans="2:18" ht="15" customHeight="1">
      <c r="B33" s="172"/>
      <c r="C33" s="173"/>
      <c r="D33" s="37" t="s">
        <v>8</v>
      </c>
      <c r="E33" s="32">
        <v>70000</v>
      </c>
      <c r="F33" s="124">
        <v>0</v>
      </c>
      <c r="G33" s="73">
        <f>E33+F33</f>
        <v>70000</v>
      </c>
      <c r="H33" s="79">
        <f t="shared" si="5"/>
        <v>70000</v>
      </c>
      <c r="I33" s="117">
        <f t="shared" ref="I33:I64" si="6">G33-H33</f>
        <v>0</v>
      </c>
      <c r="K33" s="31">
        <v>3</v>
      </c>
      <c r="L33" s="28">
        <v>45427</v>
      </c>
      <c r="M33" s="54" t="s">
        <v>18</v>
      </c>
      <c r="N33" s="54" t="s">
        <v>4</v>
      </c>
      <c r="O33" s="29" t="s">
        <v>59</v>
      </c>
      <c r="P33" s="30">
        <v>80000</v>
      </c>
      <c r="Q33" s="54" t="s">
        <v>3</v>
      </c>
      <c r="R33" s="29" t="s">
        <v>58</v>
      </c>
    </row>
    <row r="34" spans="2:18" ht="15.95" customHeight="1">
      <c r="B34" s="172"/>
      <c r="C34" s="173"/>
      <c r="D34" s="37" t="s">
        <v>9</v>
      </c>
      <c r="E34" s="32"/>
      <c r="F34" s="124"/>
      <c r="G34" s="73">
        <f>E34+F34</f>
        <v>0</v>
      </c>
      <c r="H34" s="79">
        <f t="shared" si="5"/>
        <v>0</v>
      </c>
      <c r="I34" s="117">
        <f t="shared" si="6"/>
        <v>0</v>
      </c>
      <c r="K34" s="31">
        <v>4</v>
      </c>
      <c r="L34" s="28">
        <v>45437</v>
      </c>
      <c r="M34" s="54" t="s">
        <v>18</v>
      </c>
      <c r="N34" s="54" t="s">
        <v>2</v>
      </c>
      <c r="O34" s="29" t="s">
        <v>61</v>
      </c>
      <c r="P34" s="30">
        <v>50000</v>
      </c>
      <c r="Q34" s="54" t="s">
        <v>56</v>
      </c>
      <c r="R34" s="29" t="s">
        <v>60</v>
      </c>
    </row>
    <row r="35" spans="2:18" ht="15.95" customHeight="1">
      <c r="B35" s="172"/>
      <c r="C35" s="173"/>
      <c r="D35" s="37" t="s">
        <v>10</v>
      </c>
      <c r="E35" s="32"/>
      <c r="F35" s="124">
        <v>0</v>
      </c>
      <c r="G35" s="73">
        <f t="shared" ref="G35:G64" si="7">E35+F35</f>
        <v>0</v>
      </c>
      <c r="H35" s="79">
        <f t="shared" si="5"/>
        <v>0</v>
      </c>
      <c r="I35" s="117">
        <f>G35-H35</f>
        <v>0</v>
      </c>
      <c r="K35" s="31">
        <v>5</v>
      </c>
      <c r="L35" s="28">
        <v>45437</v>
      </c>
      <c r="M35" s="54" t="s">
        <v>18</v>
      </c>
      <c r="N35" s="54" t="s">
        <v>2</v>
      </c>
      <c r="O35" s="29" t="s">
        <v>64</v>
      </c>
      <c r="P35" s="30">
        <v>50000</v>
      </c>
      <c r="Q35" s="54" t="s">
        <v>56</v>
      </c>
      <c r="R35" s="29" t="s">
        <v>63</v>
      </c>
    </row>
    <row r="36" spans="2:18" ht="15.95" customHeight="1">
      <c r="B36" s="172"/>
      <c r="C36" s="173"/>
      <c r="D36" s="37" t="s">
        <v>11</v>
      </c>
      <c r="E36" s="32">
        <v>80000</v>
      </c>
      <c r="F36" s="124">
        <v>0</v>
      </c>
      <c r="G36" s="73">
        <f>E36+F36</f>
        <v>80000</v>
      </c>
      <c r="H36" s="79">
        <f t="shared" si="5"/>
        <v>80000</v>
      </c>
      <c r="I36" s="117">
        <f t="shared" si="6"/>
        <v>0</v>
      </c>
      <c r="K36" s="31">
        <v>6</v>
      </c>
      <c r="L36" s="28">
        <v>45437</v>
      </c>
      <c r="M36" s="54" t="s">
        <v>18</v>
      </c>
      <c r="N36" s="54" t="s">
        <v>2</v>
      </c>
      <c r="O36" s="29" t="s">
        <v>62</v>
      </c>
      <c r="P36" s="30">
        <v>50000</v>
      </c>
      <c r="Q36" s="54" t="s">
        <v>56</v>
      </c>
      <c r="R36" s="29" t="s">
        <v>65</v>
      </c>
    </row>
    <row r="37" spans="2:18" ht="15.95" customHeight="1">
      <c r="B37" s="172"/>
      <c r="C37" s="173"/>
      <c r="D37" s="37" t="s">
        <v>12</v>
      </c>
      <c r="E37" s="32"/>
      <c r="F37" s="124">
        <v>0</v>
      </c>
      <c r="G37" s="73">
        <f t="shared" si="7"/>
        <v>0</v>
      </c>
      <c r="H37" s="79">
        <f t="shared" si="5"/>
        <v>0</v>
      </c>
      <c r="I37" s="117">
        <f t="shared" si="6"/>
        <v>0</v>
      </c>
      <c r="K37" s="31">
        <v>7</v>
      </c>
      <c r="L37" s="28">
        <v>45453</v>
      </c>
      <c r="M37" s="54" t="s">
        <v>1</v>
      </c>
      <c r="N37" s="54" t="s">
        <v>4</v>
      </c>
      <c r="O37" s="29" t="s">
        <v>85</v>
      </c>
      <c r="P37" s="30">
        <v>100000</v>
      </c>
      <c r="Q37" s="54" t="s">
        <v>3</v>
      </c>
      <c r="R37" s="29" t="s">
        <v>58</v>
      </c>
    </row>
    <row r="38" spans="2:18" ht="15.95" customHeight="1">
      <c r="B38" s="172"/>
      <c r="C38" s="173"/>
      <c r="D38" s="37" t="s">
        <v>13</v>
      </c>
      <c r="E38" s="32"/>
      <c r="F38" s="124">
        <v>0</v>
      </c>
      <c r="G38" s="73">
        <f t="shared" si="7"/>
        <v>0</v>
      </c>
      <c r="H38" s="79">
        <f t="shared" si="5"/>
        <v>0</v>
      </c>
      <c r="I38" s="117">
        <f t="shared" si="6"/>
        <v>0</v>
      </c>
      <c r="K38" s="31">
        <v>8</v>
      </c>
      <c r="L38" s="28">
        <v>45455</v>
      </c>
      <c r="M38" s="54" t="s">
        <v>1</v>
      </c>
      <c r="N38" s="54" t="s">
        <v>30</v>
      </c>
      <c r="O38" s="26" t="s">
        <v>53</v>
      </c>
      <c r="P38" s="30">
        <v>150000</v>
      </c>
      <c r="Q38" s="54" t="s">
        <v>3</v>
      </c>
      <c r="R38" s="26" t="s">
        <v>66</v>
      </c>
    </row>
    <row r="39" spans="2:18" ht="15.95" customHeight="1">
      <c r="B39" s="172"/>
      <c r="C39" s="173"/>
      <c r="D39" s="37" t="s">
        <v>14</v>
      </c>
      <c r="E39" s="32"/>
      <c r="F39" s="124">
        <v>0</v>
      </c>
      <c r="G39" s="73">
        <f t="shared" si="7"/>
        <v>0</v>
      </c>
      <c r="H39" s="79">
        <f t="shared" si="5"/>
        <v>0</v>
      </c>
      <c r="I39" s="117">
        <f t="shared" si="6"/>
        <v>0</v>
      </c>
      <c r="K39" s="31">
        <v>9</v>
      </c>
      <c r="L39" s="28">
        <v>45458</v>
      </c>
      <c r="M39" s="54" t="s">
        <v>1</v>
      </c>
      <c r="N39" s="54" t="s">
        <v>26</v>
      </c>
      <c r="O39" s="29" t="s">
        <v>83</v>
      </c>
      <c r="P39" s="30">
        <v>50000</v>
      </c>
      <c r="Q39" s="54" t="s">
        <v>3</v>
      </c>
      <c r="R39" s="29" t="s">
        <v>67</v>
      </c>
    </row>
    <row r="40" spans="2:18" ht="15.95" customHeight="1">
      <c r="B40" s="172"/>
      <c r="C40" s="173"/>
      <c r="D40" s="37" t="s">
        <v>15</v>
      </c>
      <c r="E40" s="32"/>
      <c r="F40" s="124">
        <v>0</v>
      </c>
      <c r="G40" s="73">
        <f t="shared" si="7"/>
        <v>0</v>
      </c>
      <c r="H40" s="79">
        <f t="shared" si="5"/>
        <v>0</v>
      </c>
      <c r="I40" s="117">
        <f t="shared" si="6"/>
        <v>0</v>
      </c>
      <c r="K40" s="31">
        <v>10</v>
      </c>
      <c r="L40" s="28">
        <v>45458</v>
      </c>
      <c r="M40" s="54" t="s">
        <v>1</v>
      </c>
      <c r="N40" s="54" t="s">
        <v>26</v>
      </c>
      <c r="O40" s="29" t="s">
        <v>84</v>
      </c>
      <c r="P40" s="30">
        <v>100000</v>
      </c>
      <c r="Q40" s="54" t="s">
        <v>3</v>
      </c>
      <c r="R40" s="29" t="s">
        <v>68</v>
      </c>
    </row>
    <row r="41" spans="2:18" ht="15.95" customHeight="1">
      <c r="B41" s="172"/>
      <c r="C41" s="173"/>
      <c r="D41" s="37" t="s">
        <v>16</v>
      </c>
      <c r="E41" s="32"/>
      <c r="F41" s="124">
        <v>0</v>
      </c>
      <c r="G41" s="73">
        <f t="shared" si="7"/>
        <v>0</v>
      </c>
      <c r="H41" s="79">
        <f t="shared" si="5"/>
        <v>0</v>
      </c>
      <c r="I41" s="117">
        <f t="shared" si="6"/>
        <v>0</v>
      </c>
      <c r="K41" s="31">
        <v>11</v>
      </c>
      <c r="L41" s="28">
        <v>45463</v>
      </c>
      <c r="M41" s="54" t="s">
        <v>1</v>
      </c>
      <c r="N41" s="54" t="s">
        <v>27</v>
      </c>
      <c r="O41" s="29" t="s">
        <v>69</v>
      </c>
      <c r="P41" s="30">
        <v>120000</v>
      </c>
      <c r="Q41" s="54" t="s">
        <v>56</v>
      </c>
      <c r="R41" s="29" t="s">
        <v>70</v>
      </c>
    </row>
    <row r="42" spans="2:18" ht="15.95" customHeight="1" thickBot="1">
      <c r="B42" s="172"/>
      <c r="C42" s="173"/>
      <c r="D42" s="82" t="s">
        <v>17</v>
      </c>
      <c r="E42" s="83"/>
      <c r="F42" s="124">
        <v>0</v>
      </c>
      <c r="G42" s="84">
        <f t="shared" si="7"/>
        <v>0</v>
      </c>
      <c r="H42" s="85">
        <f t="shared" si="5"/>
        <v>0</v>
      </c>
      <c r="I42" s="118">
        <f t="shared" si="6"/>
        <v>0</v>
      </c>
      <c r="K42" s="31">
        <v>12</v>
      </c>
      <c r="L42" s="28">
        <v>45468</v>
      </c>
      <c r="M42" s="54" t="s">
        <v>1</v>
      </c>
      <c r="N42" s="54" t="s">
        <v>2</v>
      </c>
      <c r="O42" s="29" t="s">
        <v>61</v>
      </c>
      <c r="P42" s="30">
        <v>100000</v>
      </c>
      <c r="Q42" s="54" t="s">
        <v>56</v>
      </c>
      <c r="R42" s="29" t="s">
        <v>71</v>
      </c>
    </row>
    <row r="43" spans="2:18" ht="15.95" customHeight="1">
      <c r="B43" s="181" t="s">
        <v>23</v>
      </c>
      <c r="C43" s="183" t="s">
        <v>24</v>
      </c>
      <c r="D43" s="87" t="s">
        <v>7</v>
      </c>
      <c r="E43" s="77">
        <v>150000</v>
      </c>
      <c r="F43" s="123">
        <v>0</v>
      </c>
      <c r="G43" s="72">
        <f>E43+F43</f>
        <v>150000</v>
      </c>
      <c r="H43" s="78">
        <f t="shared" ref="H43:H53" si="8">SUMIFS(P:P,M:M,"세부사업 2",N:N,D43)</f>
        <v>150000</v>
      </c>
      <c r="I43" s="116">
        <f t="shared" si="6"/>
        <v>0</v>
      </c>
      <c r="K43" s="31">
        <v>13</v>
      </c>
      <c r="L43" s="28">
        <v>45468</v>
      </c>
      <c r="M43" s="54" t="s">
        <v>1</v>
      </c>
      <c r="N43" s="54" t="s">
        <v>2</v>
      </c>
      <c r="O43" s="29" t="s">
        <v>64</v>
      </c>
      <c r="P43" s="30">
        <v>100000</v>
      </c>
      <c r="Q43" s="54" t="s">
        <v>56</v>
      </c>
      <c r="R43" s="29" t="s">
        <v>72</v>
      </c>
    </row>
    <row r="44" spans="2:18" ht="15.95" customHeight="1">
      <c r="B44" s="172"/>
      <c r="C44" s="173"/>
      <c r="D44" s="37" t="s">
        <v>8</v>
      </c>
      <c r="E44" s="32">
        <v>150000</v>
      </c>
      <c r="F44" s="124">
        <v>0</v>
      </c>
      <c r="G44" s="73">
        <f>E44+F44</f>
        <v>150000</v>
      </c>
      <c r="H44" s="79">
        <f t="shared" si="8"/>
        <v>150000</v>
      </c>
      <c r="I44" s="117">
        <f t="shared" si="6"/>
        <v>0</v>
      </c>
      <c r="K44" s="31">
        <v>14</v>
      </c>
      <c r="L44" s="28">
        <v>45468</v>
      </c>
      <c r="M44" s="54" t="s">
        <v>1</v>
      </c>
      <c r="N44" s="54" t="s">
        <v>2</v>
      </c>
      <c r="O44" s="29" t="s">
        <v>62</v>
      </c>
      <c r="P44" s="30">
        <v>100000</v>
      </c>
      <c r="Q44" s="54" t="s">
        <v>56</v>
      </c>
      <c r="R44" s="29" t="s">
        <v>73</v>
      </c>
    </row>
    <row r="45" spans="2:18" ht="15.95" customHeight="1">
      <c r="B45" s="172"/>
      <c r="C45" s="173"/>
      <c r="D45" s="37" t="s">
        <v>9</v>
      </c>
      <c r="E45" s="32"/>
      <c r="F45" s="124">
        <v>0</v>
      </c>
      <c r="G45" s="73">
        <f>E45+F45</f>
        <v>0</v>
      </c>
      <c r="H45" s="79">
        <f t="shared" si="8"/>
        <v>0</v>
      </c>
      <c r="I45" s="117">
        <f t="shared" si="6"/>
        <v>0</v>
      </c>
      <c r="K45" s="31">
        <v>15</v>
      </c>
      <c r="L45" s="28">
        <v>45483</v>
      </c>
      <c r="M45" s="54" t="s">
        <v>0</v>
      </c>
      <c r="N45" s="54" t="s">
        <v>4</v>
      </c>
      <c r="O45" s="29" t="s">
        <v>80</v>
      </c>
      <c r="P45" s="30">
        <v>60000</v>
      </c>
      <c r="Q45" s="54" t="s">
        <v>3</v>
      </c>
      <c r="R45" s="29" t="s">
        <v>58</v>
      </c>
    </row>
    <row r="46" spans="2:18" ht="15.95" customHeight="1">
      <c r="B46" s="172"/>
      <c r="C46" s="173"/>
      <c r="D46" s="37" t="s">
        <v>10</v>
      </c>
      <c r="E46" s="32"/>
      <c r="F46" s="124">
        <v>0</v>
      </c>
      <c r="G46" s="73">
        <f>E46+F46</f>
        <v>0</v>
      </c>
      <c r="H46" s="79">
        <f t="shared" si="8"/>
        <v>0</v>
      </c>
      <c r="I46" s="117">
        <f t="shared" si="6"/>
        <v>0</v>
      </c>
      <c r="K46" s="31">
        <v>16</v>
      </c>
      <c r="L46" s="28">
        <v>45485</v>
      </c>
      <c r="M46" s="54" t="s">
        <v>0</v>
      </c>
      <c r="N46" s="54" t="s">
        <v>30</v>
      </c>
      <c r="O46" s="26" t="s">
        <v>53</v>
      </c>
      <c r="P46" s="30">
        <v>150000</v>
      </c>
      <c r="Q46" s="54" t="s">
        <v>3</v>
      </c>
      <c r="R46" s="26" t="s">
        <v>66</v>
      </c>
    </row>
    <row r="47" spans="2:18" ht="15.95" customHeight="1">
      <c r="B47" s="172"/>
      <c r="C47" s="173"/>
      <c r="D47" s="37" t="s">
        <v>11</v>
      </c>
      <c r="E47" s="32">
        <v>100000</v>
      </c>
      <c r="F47" s="124">
        <v>50000</v>
      </c>
      <c r="G47" s="73">
        <f>E47+F47</f>
        <v>150000</v>
      </c>
      <c r="H47" s="79">
        <f t="shared" si="8"/>
        <v>100000</v>
      </c>
      <c r="I47" s="156">
        <f t="shared" si="6"/>
        <v>50000</v>
      </c>
      <c r="K47" s="31">
        <v>17</v>
      </c>
      <c r="L47" s="28">
        <v>45488</v>
      </c>
      <c r="M47" s="54" t="s">
        <v>0</v>
      </c>
      <c r="N47" s="54" t="s">
        <v>26</v>
      </c>
      <c r="O47" s="29" t="s">
        <v>83</v>
      </c>
      <c r="P47" s="30">
        <v>62000</v>
      </c>
      <c r="Q47" s="54" t="s">
        <v>3</v>
      </c>
      <c r="R47" s="29" t="s">
        <v>67</v>
      </c>
    </row>
    <row r="48" spans="2:18" ht="15.95" customHeight="1">
      <c r="B48" s="172"/>
      <c r="C48" s="173"/>
      <c r="D48" s="37" t="s">
        <v>12</v>
      </c>
      <c r="E48" s="32"/>
      <c r="F48" s="124">
        <v>0</v>
      </c>
      <c r="G48" s="73">
        <f t="shared" si="7"/>
        <v>0</v>
      </c>
      <c r="H48" s="79">
        <f t="shared" si="8"/>
        <v>0</v>
      </c>
      <c r="I48" s="117">
        <f t="shared" si="6"/>
        <v>0</v>
      </c>
      <c r="K48" s="31">
        <v>18</v>
      </c>
      <c r="L48" s="28">
        <v>45488</v>
      </c>
      <c r="M48" s="54" t="s">
        <v>0</v>
      </c>
      <c r="N48" s="54" t="s">
        <v>4</v>
      </c>
      <c r="O48" s="29" t="s">
        <v>82</v>
      </c>
      <c r="P48" s="30">
        <v>68000</v>
      </c>
      <c r="Q48" s="54" t="s">
        <v>3</v>
      </c>
      <c r="R48" s="29" t="s">
        <v>58</v>
      </c>
    </row>
    <row r="49" spans="2:18" ht="15.95" customHeight="1">
      <c r="B49" s="172"/>
      <c r="C49" s="173"/>
      <c r="D49" s="37" t="s">
        <v>13</v>
      </c>
      <c r="E49" s="32"/>
      <c r="F49" s="124">
        <v>0</v>
      </c>
      <c r="G49" s="73">
        <f t="shared" si="7"/>
        <v>0</v>
      </c>
      <c r="H49" s="79">
        <f t="shared" si="8"/>
        <v>0</v>
      </c>
      <c r="I49" s="117">
        <f t="shared" si="6"/>
        <v>0</v>
      </c>
      <c r="K49" s="31">
        <v>19</v>
      </c>
      <c r="L49" s="28">
        <v>45492</v>
      </c>
      <c r="M49" s="54" t="s">
        <v>0</v>
      </c>
      <c r="N49" s="54" t="s">
        <v>4</v>
      </c>
      <c r="O49" s="29" t="s">
        <v>81</v>
      </c>
      <c r="P49" s="30">
        <v>80000</v>
      </c>
      <c r="Q49" s="54" t="s">
        <v>3</v>
      </c>
      <c r="R49" s="29" t="s">
        <v>87</v>
      </c>
    </row>
    <row r="50" spans="2:18" ht="15.95" customHeight="1">
      <c r="B50" s="172"/>
      <c r="C50" s="173"/>
      <c r="D50" s="37" t="s">
        <v>14</v>
      </c>
      <c r="E50" s="32">
        <v>120000</v>
      </c>
      <c r="F50" s="124">
        <v>0</v>
      </c>
      <c r="G50" s="73">
        <f t="shared" si="7"/>
        <v>120000</v>
      </c>
      <c r="H50" s="79">
        <f t="shared" si="8"/>
        <v>120000</v>
      </c>
      <c r="I50" s="117">
        <f t="shared" si="6"/>
        <v>0</v>
      </c>
      <c r="K50" s="31">
        <v>20</v>
      </c>
      <c r="L50" s="28">
        <v>45493</v>
      </c>
      <c r="M50" s="54" t="s">
        <v>96</v>
      </c>
      <c r="N50" s="54" t="s">
        <v>12</v>
      </c>
      <c r="O50" s="29" t="s">
        <v>78</v>
      </c>
      <c r="P50" s="30">
        <v>100000</v>
      </c>
      <c r="Q50" s="54" t="s">
        <v>56</v>
      </c>
      <c r="R50" s="29" t="s">
        <v>12</v>
      </c>
    </row>
    <row r="51" spans="2:18" ht="15.95" customHeight="1">
      <c r="B51" s="172"/>
      <c r="C51" s="173"/>
      <c r="D51" s="37" t="s">
        <v>15</v>
      </c>
      <c r="E51" s="32"/>
      <c r="F51" s="124">
        <v>0</v>
      </c>
      <c r="G51" s="73">
        <f t="shared" si="7"/>
        <v>0</v>
      </c>
      <c r="H51" s="79">
        <f t="shared" si="8"/>
        <v>0</v>
      </c>
      <c r="I51" s="117">
        <f t="shared" si="6"/>
        <v>0</v>
      </c>
      <c r="K51" s="31">
        <v>21</v>
      </c>
      <c r="L51" s="28">
        <v>45498</v>
      </c>
      <c r="M51" s="54" t="s">
        <v>0</v>
      </c>
      <c r="N51" s="54" t="s">
        <v>74</v>
      </c>
      <c r="O51" s="29" t="s">
        <v>75</v>
      </c>
      <c r="P51" s="30">
        <v>100000</v>
      </c>
      <c r="Q51" s="54" t="s">
        <v>56</v>
      </c>
      <c r="R51" s="29" t="s">
        <v>77</v>
      </c>
    </row>
    <row r="52" spans="2:18" ht="15.95" customHeight="1">
      <c r="B52" s="172"/>
      <c r="C52" s="173"/>
      <c r="D52" s="37" t="s">
        <v>16</v>
      </c>
      <c r="E52" s="32"/>
      <c r="F52" s="124">
        <v>0</v>
      </c>
      <c r="G52" s="73">
        <f t="shared" si="7"/>
        <v>0</v>
      </c>
      <c r="H52" s="79">
        <f t="shared" si="8"/>
        <v>0</v>
      </c>
      <c r="I52" s="117">
        <f t="shared" si="6"/>
        <v>0</v>
      </c>
      <c r="K52" s="31">
        <v>22</v>
      </c>
      <c r="L52" s="28">
        <v>45498</v>
      </c>
      <c r="M52" s="54" t="s">
        <v>0</v>
      </c>
      <c r="N52" s="54" t="s">
        <v>79</v>
      </c>
      <c r="O52" s="29" t="s">
        <v>76</v>
      </c>
      <c r="P52" s="30">
        <v>100000</v>
      </c>
      <c r="Q52" s="54" t="s">
        <v>56</v>
      </c>
      <c r="R52" s="29" t="s">
        <v>77</v>
      </c>
    </row>
    <row r="53" spans="2:18" ht="15.95" customHeight="1" thickBot="1">
      <c r="B53" s="182"/>
      <c r="C53" s="184"/>
      <c r="D53" s="46" t="s">
        <v>17</v>
      </c>
      <c r="E53" s="80"/>
      <c r="F53" s="125">
        <v>0</v>
      </c>
      <c r="G53" s="74">
        <f t="shared" si="7"/>
        <v>0</v>
      </c>
      <c r="H53" s="81">
        <f t="shared" si="8"/>
        <v>0</v>
      </c>
      <c r="I53" s="119">
        <f t="shared" si="6"/>
        <v>0</v>
      </c>
      <c r="K53" s="31">
        <v>23</v>
      </c>
      <c r="L53" s="28">
        <v>45505</v>
      </c>
      <c r="M53" s="54" t="s">
        <v>0</v>
      </c>
      <c r="N53" s="54" t="s">
        <v>4</v>
      </c>
      <c r="O53" s="29" t="s">
        <v>88</v>
      </c>
      <c r="P53" s="30">
        <v>80000</v>
      </c>
      <c r="Q53" s="54" t="s">
        <v>3</v>
      </c>
      <c r="R53" s="29" t="s">
        <v>86</v>
      </c>
    </row>
    <row r="54" spans="2:18" ht="15.95" customHeight="1">
      <c r="B54" s="172" t="s">
        <v>22</v>
      </c>
      <c r="C54" s="173" t="s">
        <v>25</v>
      </c>
      <c r="D54" s="34" t="s">
        <v>7</v>
      </c>
      <c r="E54" s="33">
        <v>150000</v>
      </c>
      <c r="F54" s="126">
        <v>0</v>
      </c>
      <c r="G54" s="75">
        <f t="shared" si="7"/>
        <v>150000</v>
      </c>
      <c r="H54" s="86">
        <f t="shared" ref="H54:H64" si="9">SUMIFS(P:P,M:M,"세부사업 3",N:N,D54)</f>
        <v>150000</v>
      </c>
      <c r="I54" s="112">
        <f t="shared" si="6"/>
        <v>0</v>
      </c>
      <c r="K54" s="31">
        <v>24</v>
      </c>
      <c r="L54" s="28"/>
      <c r="M54" s="54"/>
      <c r="N54" s="54"/>
      <c r="O54" s="29"/>
      <c r="P54" s="30"/>
      <c r="Q54" s="54"/>
      <c r="R54" s="29"/>
    </row>
    <row r="55" spans="2:18" ht="15.95" customHeight="1">
      <c r="B55" s="172"/>
      <c r="C55" s="173"/>
      <c r="D55" s="37" t="s">
        <v>8</v>
      </c>
      <c r="E55" s="32">
        <v>62000</v>
      </c>
      <c r="F55" s="126">
        <v>0</v>
      </c>
      <c r="G55" s="73">
        <f t="shared" si="7"/>
        <v>62000</v>
      </c>
      <c r="H55" s="79">
        <f t="shared" si="9"/>
        <v>62000</v>
      </c>
      <c r="I55" s="117">
        <f t="shared" si="6"/>
        <v>0</v>
      </c>
      <c r="K55" s="31">
        <v>25</v>
      </c>
      <c r="L55" s="28"/>
      <c r="M55" s="54"/>
      <c r="N55" s="54"/>
      <c r="O55" s="29"/>
      <c r="P55" s="30"/>
      <c r="Q55" s="54"/>
      <c r="R55" s="29"/>
    </row>
    <row r="56" spans="2:18" ht="15.95" customHeight="1">
      <c r="B56" s="172"/>
      <c r="C56" s="173"/>
      <c r="D56" s="37" t="s">
        <v>9</v>
      </c>
      <c r="E56" s="32"/>
      <c r="F56" s="126">
        <v>0</v>
      </c>
      <c r="G56" s="73">
        <f t="shared" si="7"/>
        <v>0</v>
      </c>
      <c r="H56" s="79">
        <f t="shared" si="9"/>
        <v>0</v>
      </c>
      <c r="I56" s="117">
        <f t="shared" si="6"/>
        <v>0</v>
      </c>
      <c r="K56" s="31">
        <v>26</v>
      </c>
      <c r="L56" s="28"/>
      <c r="M56" s="54"/>
      <c r="N56" s="54"/>
      <c r="O56" s="29"/>
      <c r="P56" s="30"/>
      <c r="Q56" s="54"/>
      <c r="R56" s="29"/>
    </row>
    <row r="57" spans="2:18" ht="15.95" customHeight="1">
      <c r="B57" s="172"/>
      <c r="C57" s="173"/>
      <c r="D57" s="37" t="s">
        <v>10</v>
      </c>
      <c r="E57" s="32"/>
      <c r="F57" s="126">
        <v>0</v>
      </c>
      <c r="G57" s="73">
        <f t="shared" si="7"/>
        <v>0</v>
      </c>
      <c r="H57" s="79">
        <f t="shared" si="9"/>
        <v>0</v>
      </c>
      <c r="I57" s="117">
        <f t="shared" si="6"/>
        <v>0</v>
      </c>
      <c r="K57" s="31">
        <v>27</v>
      </c>
      <c r="L57" s="28"/>
      <c r="M57" s="54"/>
      <c r="N57" s="54"/>
      <c r="O57" s="29"/>
      <c r="P57" s="30"/>
      <c r="Q57" s="54"/>
      <c r="R57" s="29"/>
    </row>
    <row r="58" spans="2:18">
      <c r="B58" s="172"/>
      <c r="C58" s="173"/>
      <c r="D58" s="37" t="s">
        <v>11</v>
      </c>
      <c r="E58" s="32">
        <v>288000</v>
      </c>
      <c r="F58" s="126">
        <v>0</v>
      </c>
      <c r="G58" s="73">
        <f t="shared" si="7"/>
        <v>288000</v>
      </c>
      <c r="H58" s="79">
        <f t="shared" si="9"/>
        <v>288000</v>
      </c>
      <c r="I58" s="117">
        <f t="shared" si="6"/>
        <v>0</v>
      </c>
      <c r="K58" s="31">
        <v>28</v>
      </c>
      <c r="L58" s="28"/>
      <c r="M58" s="54"/>
      <c r="N58" s="54"/>
      <c r="O58" s="29"/>
      <c r="P58" s="30"/>
      <c r="Q58" s="54"/>
      <c r="R58" s="29"/>
    </row>
    <row r="59" spans="2:18">
      <c r="B59" s="172"/>
      <c r="C59" s="173"/>
      <c r="D59" s="37" t="s">
        <v>12</v>
      </c>
      <c r="E59" s="32">
        <v>100000</v>
      </c>
      <c r="F59" s="126">
        <v>0</v>
      </c>
      <c r="G59" s="73">
        <f t="shared" si="7"/>
        <v>100000</v>
      </c>
      <c r="H59" s="79">
        <f t="shared" si="9"/>
        <v>100000</v>
      </c>
      <c r="I59" s="117">
        <f t="shared" si="6"/>
        <v>0</v>
      </c>
      <c r="K59" s="31">
        <v>29</v>
      </c>
      <c r="L59" s="28"/>
      <c r="M59" s="54"/>
      <c r="N59" s="54"/>
      <c r="O59" s="29"/>
      <c r="P59" s="30"/>
      <c r="Q59" s="54"/>
      <c r="R59" s="29"/>
    </row>
    <row r="60" spans="2:18">
      <c r="B60" s="172"/>
      <c r="C60" s="173"/>
      <c r="D60" s="37" t="s">
        <v>13</v>
      </c>
      <c r="E60" s="32"/>
      <c r="F60" s="126">
        <v>0</v>
      </c>
      <c r="G60" s="73">
        <f t="shared" si="7"/>
        <v>0</v>
      </c>
      <c r="H60" s="79">
        <f t="shared" si="9"/>
        <v>0</v>
      </c>
      <c r="I60" s="117">
        <f t="shared" si="6"/>
        <v>0</v>
      </c>
      <c r="K60" s="31">
        <v>30</v>
      </c>
      <c r="L60" s="28"/>
      <c r="M60" s="54"/>
      <c r="N60" s="54"/>
      <c r="O60" s="29"/>
      <c r="P60" s="30"/>
      <c r="Q60" s="54"/>
      <c r="R60" s="29"/>
    </row>
    <row r="61" spans="2:18">
      <c r="B61" s="172"/>
      <c r="C61" s="173"/>
      <c r="D61" s="37" t="s">
        <v>14</v>
      </c>
      <c r="E61" s="32"/>
      <c r="F61" s="126">
        <v>0</v>
      </c>
      <c r="G61" s="73">
        <f t="shared" si="7"/>
        <v>0</v>
      </c>
      <c r="H61" s="79">
        <f t="shared" si="9"/>
        <v>0</v>
      </c>
      <c r="I61" s="117">
        <f t="shared" si="6"/>
        <v>0</v>
      </c>
      <c r="K61" s="31">
        <v>31</v>
      </c>
      <c r="L61" s="28"/>
      <c r="M61" s="54"/>
      <c r="N61" s="54"/>
      <c r="O61" s="29"/>
      <c r="P61" s="30"/>
      <c r="Q61" s="54"/>
      <c r="R61" s="29"/>
    </row>
    <row r="62" spans="2:18">
      <c r="B62" s="172"/>
      <c r="C62" s="173"/>
      <c r="D62" s="37" t="s">
        <v>15</v>
      </c>
      <c r="E62" s="32">
        <v>200000</v>
      </c>
      <c r="F62" s="126">
        <v>0</v>
      </c>
      <c r="G62" s="73">
        <f t="shared" si="7"/>
        <v>200000</v>
      </c>
      <c r="H62" s="79">
        <f t="shared" si="9"/>
        <v>200000</v>
      </c>
      <c r="I62" s="117">
        <f t="shared" si="6"/>
        <v>0</v>
      </c>
      <c r="K62" s="31">
        <v>32</v>
      </c>
      <c r="L62" s="28"/>
      <c r="M62" s="54"/>
      <c r="N62" s="54"/>
      <c r="O62" s="29"/>
      <c r="P62" s="30"/>
      <c r="Q62" s="54"/>
      <c r="R62" s="29"/>
    </row>
    <row r="63" spans="2:18">
      <c r="B63" s="172"/>
      <c r="C63" s="173"/>
      <c r="D63" s="37" t="s">
        <v>16</v>
      </c>
      <c r="E63" s="32"/>
      <c r="F63" s="126">
        <v>0</v>
      </c>
      <c r="G63" s="73">
        <f t="shared" si="7"/>
        <v>0</v>
      </c>
      <c r="H63" s="79">
        <f t="shared" si="9"/>
        <v>0</v>
      </c>
      <c r="I63" s="117">
        <f t="shared" si="6"/>
        <v>0</v>
      </c>
      <c r="K63" s="31">
        <v>33</v>
      </c>
      <c r="L63" s="28"/>
      <c r="M63" s="54"/>
      <c r="N63" s="54"/>
      <c r="O63" s="29"/>
      <c r="P63" s="30"/>
      <c r="Q63" s="54"/>
      <c r="R63" s="29"/>
    </row>
    <row r="64" spans="2:18" ht="17.25" thickBot="1">
      <c r="B64" s="182"/>
      <c r="C64" s="184"/>
      <c r="D64" s="46" t="s">
        <v>17</v>
      </c>
      <c r="E64" s="80"/>
      <c r="F64" s="126">
        <v>0</v>
      </c>
      <c r="G64" s="74">
        <f t="shared" si="7"/>
        <v>0</v>
      </c>
      <c r="H64" s="81">
        <f t="shared" si="9"/>
        <v>0</v>
      </c>
      <c r="I64" s="119">
        <f t="shared" si="6"/>
        <v>0</v>
      </c>
      <c r="K64" s="31">
        <v>34</v>
      </c>
      <c r="L64" s="28"/>
      <c r="M64" s="54"/>
      <c r="N64" s="54"/>
      <c r="O64" s="29"/>
      <c r="P64" s="30"/>
      <c r="Q64" s="54"/>
      <c r="R64" s="29"/>
    </row>
    <row r="65" spans="2:18" ht="17.25" thickBot="1">
      <c r="B65" s="185" t="s">
        <v>34</v>
      </c>
      <c r="C65" s="186"/>
      <c r="D65" s="187"/>
      <c r="E65" s="48">
        <f>SUM(E31:E64)</f>
        <v>2000000</v>
      </c>
      <c r="F65" s="48">
        <f>SUM(F31:F64)</f>
        <v>0</v>
      </c>
      <c r="G65" s="48">
        <f>E65-F65</f>
        <v>2000000</v>
      </c>
      <c r="H65" s="48">
        <f>SUM(H31:H64)</f>
        <v>2000000</v>
      </c>
      <c r="I65" s="55">
        <f>SUM(I31:I64)</f>
        <v>0</v>
      </c>
      <c r="K65" s="31">
        <v>35</v>
      </c>
      <c r="L65" s="28"/>
      <c r="M65" s="54"/>
      <c r="N65" s="54"/>
      <c r="O65" s="29"/>
      <c r="P65" s="30"/>
      <c r="Q65" s="54"/>
      <c r="R65" s="29"/>
    </row>
    <row r="66" spans="2:18">
      <c r="H66" s="106"/>
      <c r="K66" s="31">
        <v>36</v>
      </c>
      <c r="L66" s="28"/>
      <c r="M66" s="54"/>
      <c r="N66" s="54"/>
      <c r="O66" s="29"/>
      <c r="P66" s="30"/>
      <c r="Q66" s="54"/>
      <c r="R66" s="29"/>
    </row>
    <row r="67" spans="2:18">
      <c r="C67" s="18"/>
      <c r="D67" s="18"/>
      <c r="E67" s="18"/>
      <c r="F67" s="56"/>
      <c r="G67" s="19"/>
      <c r="H67" s="106"/>
      <c r="K67" s="31">
        <v>37</v>
      </c>
      <c r="L67" s="28"/>
      <c r="M67" s="54"/>
      <c r="N67" s="54"/>
      <c r="O67" s="29"/>
      <c r="P67" s="30"/>
      <c r="Q67" s="54"/>
      <c r="R67" s="29"/>
    </row>
    <row r="68" spans="2:18">
      <c r="C68" s="56"/>
      <c r="D68" s="56"/>
      <c r="E68" s="20"/>
      <c r="F68" s="56"/>
      <c r="G68" s="21"/>
      <c r="H68" s="106"/>
      <c r="K68" s="31">
        <v>38</v>
      </c>
      <c r="L68" s="28"/>
      <c r="M68" s="54"/>
      <c r="N68" s="54"/>
      <c r="O68" s="29"/>
      <c r="P68" s="30"/>
      <c r="Q68" s="54"/>
      <c r="R68" s="29"/>
    </row>
    <row r="69" spans="2:18">
      <c r="C69" s="179"/>
      <c r="D69" s="56"/>
      <c r="E69" s="20"/>
      <c r="F69" s="56"/>
      <c r="G69" s="21"/>
      <c r="H69" s="106"/>
      <c r="K69" s="31">
        <v>39</v>
      </c>
      <c r="L69" s="28"/>
      <c r="M69" s="54"/>
      <c r="N69" s="54"/>
      <c r="O69" s="29"/>
      <c r="P69" s="30"/>
      <c r="Q69" s="54"/>
      <c r="R69" s="29"/>
    </row>
    <row r="70" spans="2:18">
      <c r="C70" s="179"/>
      <c r="D70" s="22"/>
      <c r="E70" s="23"/>
      <c r="F70" s="56"/>
      <c r="G70" s="19"/>
      <c r="H70" s="106"/>
      <c r="K70" s="31">
        <v>40</v>
      </c>
      <c r="L70" s="28"/>
      <c r="M70" s="54"/>
      <c r="N70" s="54"/>
      <c r="O70" s="29"/>
      <c r="P70" s="30"/>
      <c r="Q70" s="54"/>
      <c r="R70" s="29"/>
    </row>
    <row r="71" spans="2:18">
      <c r="C71" s="179"/>
      <c r="D71" s="22"/>
      <c r="E71" s="23"/>
      <c r="F71" s="120"/>
      <c r="G71" s="120"/>
      <c r="H71" s="106"/>
      <c r="K71" s="31">
        <v>41</v>
      </c>
      <c r="L71" s="28"/>
      <c r="M71" s="54"/>
      <c r="N71" s="54"/>
      <c r="O71" s="29"/>
      <c r="P71" s="30"/>
      <c r="Q71" s="54"/>
      <c r="R71" s="29"/>
    </row>
    <row r="72" spans="2:18">
      <c r="D72" s="1"/>
      <c r="E72" s="106"/>
      <c r="H72" s="106"/>
      <c r="K72" s="31">
        <v>42</v>
      </c>
      <c r="L72" s="28"/>
      <c r="M72" s="54"/>
      <c r="N72" s="54"/>
      <c r="O72" s="29"/>
      <c r="P72" s="30"/>
      <c r="Q72" s="54"/>
      <c r="R72" s="29"/>
    </row>
    <row r="73" spans="2:18">
      <c r="K73" s="31">
        <v>43</v>
      </c>
      <c r="L73" s="28"/>
      <c r="M73" s="54"/>
      <c r="N73" s="54"/>
      <c r="O73" s="29"/>
      <c r="P73" s="30"/>
      <c r="Q73" s="54"/>
      <c r="R73" s="29"/>
    </row>
    <row r="74" spans="2:18">
      <c r="K74" s="31">
        <v>44</v>
      </c>
      <c r="L74" s="28"/>
      <c r="M74" s="54"/>
      <c r="N74" s="54"/>
      <c r="O74" s="29"/>
      <c r="P74" s="30"/>
      <c r="Q74" s="54"/>
      <c r="R74" s="29"/>
    </row>
    <row r="75" spans="2:18">
      <c r="K75" s="31">
        <v>45</v>
      </c>
      <c r="L75" s="28"/>
      <c r="M75" s="54"/>
      <c r="N75" s="54"/>
      <c r="O75" s="29"/>
      <c r="P75" s="30"/>
      <c r="Q75" s="54"/>
      <c r="R75" s="29"/>
    </row>
    <row r="76" spans="2:18">
      <c r="K76" s="31">
        <v>46</v>
      </c>
      <c r="L76" s="28"/>
      <c r="M76" s="54"/>
      <c r="N76" s="54"/>
      <c r="O76" s="29"/>
      <c r="P76" s="30"/>
      <c r="Q76" s="54"/>
      <c r="R76" s="29"/>
    </row>
    <row r="77" spans="2:18">
      <c r="K77" s="31">
        <v>47</v>
      </c>
      <c r="L77" s="28"/>
      <c r="M77" s="54"/>
      <c r="N77" s="54"/>
      <c r="O77" s="29"/>
      <c r="P77" s="30"/>
      <c r="Q77" s="54"/>
      <c r="R77" s="29"/>
    </row>
    <row r="78" spans="2:18">
      <c r="K78" s="31">
        <v>48</v>
      </c>
      <c r="L78" s="28"/>
      <c r="M78" s="54"/>
      <c r="N78" s="54"/>
      <c r="O78" s="29"/>
      <c r="P78" s="30"/>
      <c r="Q78" s="54"/>
      <c r="R78" s="29"/>
    </row>
    <row r="79" spans="2:18">
      <c r="K79" s="31">
        <v>49</v>
      </c>
      <c r="L79" s="28"/>
      <c r="M79" s="54"/>
      <c r="N79" s="54"/>
      <c r="O79" s="29"/>
      <c r="P79" s="30"/>
      <c r="Q79" s="54"/>
      <c r="R79" s="29"/>
    </row>
    <row r="80" spans="2:18">
      <c r="K80" s="31">
        <v>50</v>
      </c>
      <c r="L80" s="28"/>
      <c r="M80" s="54"/>
      <c r="N80" s="54"/>
      <c r="O80" s="29"/>
      <c r="P80" s="30"/>
      <c r="Q80" s="54"/>
      <c r="R80" s="29"/>
    </row>
    <row r="82" spans="14:14">
      <c r="N82" s="121"/>
    </row>
    <row r="83" spans="14:14">
      <c r="N83" s="121"/>
    </row>
    <row r="84" spans="14:14">
      <c r="N84" s="121"/>
    </row>
    <row r="85" spans="14:14">
      <c r="N85" s="121"/>
    </row>
    <row r="86" spans="14:14">
      <c r="N86" s="121"/>
    </row>
    <row r="87" spans="14:14">
      <c r="N87" s="121"/>
    </row>
    <row r="88" spans="14:14">
      <c r="N88" s="121"/>
    </row>
    <row r="89" spans="14:14">
      <c r="N89" s="121"/>
    </row>
    <row r="90" spans="14:14">
      <c r="N90" s="121"/>
    </row>
    <row r="91" spans="14:14">
      <c r="N91" s="121"/>
    </row>
    <row r="92" spans="14:14">
      <c r="N92" s="121"/>
    </row>
    <row r="93" spans="14:14">
      <c r="N93" s="121"/>
    </row>
    <row r="94" spans="14:14">
      <c r="N94" s="121"/>
    </row>
    <row r="95" spans="14:14">
      <c r="N95" s="121"/>
    </row>
    <row r="96" spans="14:14">
      <c r="N96" s="121"/>
    </row>
    <row r="97" spans="14:14">
      <c r="N97" s="121"/>
    </row>
    <row r="98" spans="14:14">
      <c r="N98" s="121"/>
    </row>
    <row r="99" spans="14:14">
      <c r="N99" s="121"/>
    </row>
    <row r="100" spans="14:14">
      <c r="N100" s="121"/>
    </row>
    <row r="101" spans="14:14">
      <c r="N101" s="121"/>
    </row>
    <row r="102" spans="14:14">
      <c r="N102" s="121"/>
    </row>
    <row r="103" spans="14:14">
      <c r="N103" s="121"/>
    </row>
    <row r="104" spans="14:14">
      <c r="N104" s="121"/>
    </row>
    <row r="105" spans="14:14">
      <c r="N105" s="121"/>
    </row>
  </sheetData>
  <autoFilter ref="K30:R80"/>
  <mergeCells count="31">
    <mergeCell ref="B29:C29"/>
    <mergeCell ref="B65:D65"/>
    <mergeCell ref="C69:C71"/>
    <mergeCell ref="B32:B42"/>
    <mergeCell ref="C32:C42"/>
    <mergeCell ref="B43:B53"/>
    <mergeCell ref="C43:C53"/>
    <mergeCell ref="B54:B64"/>
    <mergeCell ref="C54:C64"/>
    <mergeCell ref="F10:G10"/>
    <mergeCell ref="C10:D10"/>
    <mergeCell ref="B15:B25"/>
    <mergeCell ref="B26:E26"/>
    <mergeCell ref="C27:D27"/>
    <mergeCell ref="F27:G27"/>
    <mergeCell ref="K29:L29"/>
    <mergeCell ref="C2:H2"/>
    <mergeCell ref="D29:I29"/>
    <mergeCell ref="B3:G3"/>
    <mergeCell ref="C6:D6"/>
    <mergeCell ref="F6:G6"/>
    <mergeCell ref="C7:D7"/>
    <mergeCell ref="F7:G7"/>
    <mergeCell ref="B8:C8"/>
    <mergeCell ref="I9:J9"/>
    <mergeCell ref="C11:D11"/>
    <mergeCell ref="F11:G11"/>
    <mergeCell ref="B12:C12"/>
    <mergeCell ref="D12:E12"/>
    <mergeCell ref="C9:D9"/>
    <mergeCell ref="F9:G9"/>
  </mergeCells>
  <phoneticPr fontId="2" type="noConversion"/>
  <conditionalFormatting sqref="I9:J10">
    <cfRule type="cellIs" dxfId="108" priority="218" operator="lessThan">
      <formula>0</formula>
    </cfRule>
  </conditionalFormatting>
  <conditionalFormatting sqref="F10">
    <cfRule type="cellIs" dxfId="107" priority="215" operator="greaterThan">
      <formula>1</formula>
    </cfRule>
    <cfRule type="cellIs" dxfId="106" priority="216" operator="lessThan">
      <formula>0</formula>
    </cfRule>
  </conditionalFormatting>
  <conditionalFormatting sqref="C10">
    <cfRule type="cellIs" dxfId="105" priority="217" operator="lessThan">
      <formula>0</formula>
    </cfRule>
  </conditionalFormatting>
  <conditionalFormatting sqref="H14">
    <cfRule type="cellIs" dxfId="104" priority="125" operator="greaterThan">
      <formula>$E$14</formula>
    </cfRule>
  </conditionalFormatting>
  <conditionalFormatting sqref="H19">
    <cfRule type="cellIs" dxfId="103" priority="123" operator="greaterThan">
      <formula>$E$19</formula>
    </cfRule>
  </conditionalFormatting>
  <conditionalFormatting sqref="H20">
    <cfRule type="cellIs" dxfId="102" priority="122" operator="greaterThan">
      <formula>$E$20</formula>
    </cfRule>
  </conditionalFormatting>
  <conditionalFormatting sqref="H23">
    <cfRule type="cellIs" dxfId="101" priority="121" operator="greaterThan">
      <formula>$E$23</formula>
    </cfRule>
  </conditionalFormatting>
  <conditionalFormatting sqref="I26">
    <cfRule type="cellIs" dxfId="100" priority="108" operator="greaterThan">
      <formula>$H$26</formula>
    </cfRule>
    <cfRule type="cellIs" dxfId="99" priority="93" operator="greaterThan">
      <formula>$H$26</formula>
    </cfRule>
  </conditionalFormatting>
  <conditionalFormatting sqref="I14">
    <cfRule type="cellIs" dxfId="98" priority="107" operator="greaterThan">
      <formula>$H$14</formula>
    </cfRule>
  </conditionalFormatting>
  <conditionalFormatting sqref="I15">
    <cfRule type="cellIs" dxfId="97" priority="106" operator="greaterThan">
      <formula>$H$15</formula>
    </cfRule>
  </conditionalFormatting>
  <conditionalFormatting sqref="I16">
    <cfRule type="cellIs" dxfId="96" priority="105" operator="greaterThan">
      <formula>$H$16</formula>
    </cfRule>
  </conditionalFormatting>
  <conditionalFormatting sqref="I17">
    <cfRule type="cellIs" dxfId="95" priority="104" operator="greaterThan">
      <formula>$H$17</formula>
    </cfRule>
    <cfRule type="cellIs" dxfId="94" priority="103" operator="greaterThan">
      <formula>$H$17</formula>
    </cfRule>
  </conditionalFormatting>
  <conditionalFormatting sqref="I18">
    <cfRule type="cellIs" dxfId="93" priority="102" operator="greaterThan">
      <formula>$H$18</formula>
    </cfRule>
  </conditionalFormatting>
  <conditionalFormatting sqref="I19">
    <cfRule type="cellIs" dxfId="92" priority="101" operator="greaterThan">
      <formula>$H$19</formula>
    </cfRule>
  </conditionalFormatting>
  <conditionalFormatting sqref="I20">
    <cfRule type="cellIs" dxfId="91" priority="100" operator="greaterThan">
      <formula>100000</formula>
    </cfRule>
    <cfRule type="cellIs" dxfId="90" priority="99" operator="greaterThan">
      <formula>$H$20</formula>
    </cfRule>
  </conditionalFormatting>
  <conditionalFormatting sqref="I21">
    <cfRule type="cellIs" dxfId="89" priority="98" operator="greaterThan">
      <formula>$H$21</formula>
    </cfRule>
  </conditionalFormatting>
  <conditionalFormatting sqref="I22">
    <cfRule type="cellIs" dxfId="88" priority="97" operator="greaterThan">
      <formula>$H$22</formula>
    </cfRule>
  </conditionalFormatting>
  <conditionalFormatting sqref="I23">
    <cfRule type="cellIs" dxfId="87" priority="96" operator="greaterThan">
      <formula>$H$23</formula>
    </cfRule>
  </conditionalFormatting>
  <conditionalFormatting sqref="I24">
    <cfRule type="cellIs" dxfId="86" priority="95" operator="greaterThan">
      <formula>$H$24</formula>
    </cfRule>
  </conditionalFormatting>
  <conditionalFormatting sqref="I25">
    <cfRule type="cellIs" dxfId="85" priority="94" operator="greaterThan">
      <formula>$H$25</formula>
    </cfRule>
  </conditionalFormatting>
  <conditionalFormatting sqref="J14">
    <cfRule type="cellIs" dxfId="84" priority="91" operator="lessThan">
      <formula>0</formula>
    </cfRule>
  </conditionalFormatting>
  <conditionalFormatting sqref="J15">
    <cfRule type="cellIs" dxfId="83" priority="90" operator="lessThan">
      <formula>0</formula>
    </cfRule>
  </conditionalFormatting>
  <conditionalFormatting sqref="J16">
    <cfRule type="cellIs" dxfId="82" priority="89" operator="lessThan">
      <formula>0</formula>
    </cfRule>
  </conditionalFormatting>
  <conditionalFormatting sqref="J17">
    <cfRule type="cellIs" dxfId="81" priority="88" operator="lessThan">
      <formula>0</formula>
    </cfRule>
  </conditionalFormatting>
  <conditionalFormatting sqref="J18">
    <cfRule type="cellIs" dxfId="80" priority="87" operator="lessThan">
      <formula>0</formula>
    </cfRule>
  </conditionalFormatting>
  <conditionalFormatting sqref="J19">
    <cfRule type="cellIs" dxfId="79" priority="86" operator="lessThan">
      <formula>0</formula>
    </cfRule>
  </conditionalFormatting>
  <conditionalFormatting sqref="J20">
    <cfRule type="cellIs" dxfId="78" priority="85" operator="lessThan">
      <formula>0</formula>
    </cfRule>
  </conditionalFormatting>
  <conditionalFormatting sqref="J21">
    <cfRule type="cellIs" dxfId="77" priority="84" operator="lessThan">
      <formula>0</formula>
    </cfRule>
  </conditionalFormatting>
  <conditionalFormatting sqref="J22">
    <cfRule type="cellIs" dxfId="76" priority="83" operator="lessThan">
      <formula>0</formula>
    </cfRule>
  </conditionalFormatting>
  <conditionalFormatting sqref="J23">
    <cfRule type="cellIs" dxfId="75" priority="82" operator="lessThan">
      <formula>0</formula>
    </cfRule>
  </conditionalFormatting>
  <conditionalFormatting sqref="J24">
    <cfRule type="cellIs" dxfId="74" priority="81" operator="lessThan">
      <formula>0</formula>
    </cfRule>
  </conditionalFormatting>
  <conditionalFormatting sqref="J25">
    <cfRule type="cellIs" dxfId="73" priority="80" operator="lessThan">
      <formula>0</formula>
    </cfRule>
  </conditionalFormatting>
  <conditionalFormatting sqref="J26">
    <cfRule type="cellIs" dxfId="72" priority="79" operator="lessThan">
      <formula>0</formula>
    </cfRule>
  </conditionalFormatting>
  <conditionalFormatting sqref="H31">
    <cfRule type="cellIs" dxfId="71" priority="78" operator="greaterThan">
      <formula>$G$31</formula>
    </cfRule>
  </conditionalFormatting>
  <conditionalFormatting sqref="H32">
    <cfRule type="cellIs" dxfId="70" priority="77" operator="greaterThan">
      <formula>$G$32</formula>
    </cfRule>
  </conditionalFormatting>
  <conditionalFormatting sqref="H33">
    <cfRule type="cellIs" dxfId="69" priority="76" operator="greaterThan">
      <formula>$G$33</formula>
    </cfRule>
  </conditionalFormatting>
  <conditionalFormatting sqref="H34">
    <cfRule type="cellIs" dxfId="68" priority="75" operator="greaterThan">
      <formula>$G$34</formula>
    </cfRule>
  </conditionalFormatting>
  <conditionalFormatting sqref="H35">
    <cfRule type="cellIs" dxfId="67" priority="74" operator="greaterThan">
      <formula>$G$35</formula>
    </cfRule>
  </conditionalFormatting>
  <conditionalFormatting sqref="H36">
    <cfRule type="cellIs" dxfId="66" priority="73" operator="greaterThan">
      <formula>$G$36</formula>
    </cfRule>
  </conditionalFormatting>
  <conditionalFormatting sqref="H37">
    <cfRule type="cellIs" dxfId="65" priority="72" operator="greaterThan">
      <formula>$G$37</formula>
    </cfRule>
  </conditionalFormatting>
  <conditionalFormatting sqref="H38">
    <cfRule type="cellIs" dxfId="64" priority="71" operator="greaterThan">
      <formula>$G$38</formula>
    </cfRule>
  </conditionalFormatting>
  <conditionalFormatting sqref="H39">
    <cfRule type="cellIs" dxfId="63" priority="70" operator="greaterThan">
      <formula>$G$39</formula>
    </cfRule>
  </conditionalFormatting>
  <conditionalFormatting sqref="H40">
    <cfRule type="cellIs" dxfId="62" priority="63" operator="greaterThan">
      <formula>$G$40</formula>
    </cfRule>
  </conditionalFormatting>
  <conditionalFormatting sqref="H41">
    <cfRule type="cellIs" dxfId="61" priority="62" operator="greaterThan">
      <formula>$G$41</formula>
    </cfRule>
  </conditionalFormatting>
  <conditionalFormatting sqref="H42">
    <cfRule type="cellIs" dxfId="60" priority="61" operator="greaterThan">
      <formula>$G$42</formula>
    </cfRule>
  </conditionalFormatting>
  <conditionalFormatting sqref="H43">
    <cfRule type="cellIs" dxfId="59" priority="60" operator="greaterThan">
      <formula>$G$43</formula>
    </cfRule>
  </conditionalFormatting>
  <conditionalFormatting sqref="H44">
    <cfRule type="cellIs" dxfId="58" priority="59" operator="greaterThan">
      <formula>$G$44</formula>
    </cfRule>
  </conditionalFormatting>
  <conditionalFormatting sqref="H45">
    <cfRule type="cellIs" dxfId="57" priority="58" operator="greaterThan">
      <formula>$G$45</formula>
    </cfRule>
  </conditionalFormatting>
  <conditionalFormatting sqref="H46">
    <cfRule type="cellIs" dxfId="56" priority="57" operator="greaterThan">
      <formula>$G$46</formula>
    </cfRule>
  </conditionalFormatting>
  <conditionalFormatting sqref="H47">
    <cfRule type="cellIs" dxfId="55" priority="56" operator="greaterThan">
      <formula>$G$47</formula>
    </cfRule>
  </conditionalFormatting>
  <conditionalFormatting sqref="H48">
    <cfRule type="cellIs" dxfId="54" priority="55" operator="greaterThan">
      <formula>$G$48</formula>
    </cfRule>
  </conditionalFormatting>
  <conditionalFormatting sqref="H49">
    <cfRule type="cellIs" dxfId="53" priority="54" operator="greaterThan">
      <formula>$G$49</formula>
    </cfRule>
  </conditionalFormatting>
  <conditionalFormatting sqref="H50">
    <cfRule type="cellIs" dxfId="52" priority="53" operator="greaterThan">
      <formula>$G$50</formula>
    </cfRule>
  </conditionalFormatting>
  <conditionalFormatting sqref="H51">
    <cfRule type="cellIs" dxfId="51" priority="52" operator="greaterThan">
      <formula>$G$51</formula>
    </cfRule>
  </conditionalFormatting>
  <conditionalFormatting sqref="H52">
    <cfRule type="cellIs" dxfId="50" priority="51" operator="greaterThan">
      <formula>$G$52</formula>
    </cfRule>
  </conditionalFormatting>
  <conditionalFormatting sqref="H53">
    <cfRule type="cellIs" dxfId="49" priority="50" operator="greaterThan">
      <formula>$G$53</formula>
    </cfRule>
  </conditionalFormatting>
  <conditionalFormatting sqref="H54">
    <cfRule type="cellIs" dxfId="48" priority="49" operator="greaterThan">
      <formula>$G$54</formula>
    </cfRule>
  </conditionalFormatting>
  <conditionalFormatting sqref="H55">
    <cfRule type="cellIs" dxfId="47" priority="48" operator="greaterThan">
      <formula>$G$55</formula>
    </cfRule>
  </conditionalFormatting>
  <conditionalFormatting sqref="H56">
    <cfRule type="cellIs" dxfId="46" priority="47" operator="greaterThan">
      <formula>$G$56</formula>
    </cfRule>
  </conditionalFormatting>
  <conditionalFormatting sqref="H57">
    <cfRule type="cellIs" dxfId="45" priority="46" operator="greaterThan">
      <formula>$G$57</formula>
    </cfRule>
  </conditionalFormatting>
  <conditionalFormatting sqref="H58">
    <cfRule type="cellIs" dxfId="44" priority="45" operator="greaterThan">
      <formula>$G$58</formula>
    </cfRule>
  </conditionalFormatting>
  <conditionalFormatting sqref="H59">
    <cfRule type="cellIs" dxfId="43" priority="44" operator="greaterThan">
      <formula>$G$59</formula>
    </cfRule>
  </conditionalFormatting>
  <conditionalFormatting sqref="H60">
    <cfRule type="cellIs" dxfId="42" priority="43" operator="greaterThan">
      <formula>$G$60</formula>
    </cfRule>
  </conditionalFormatting>
  <conditionalFormatting sqref="H61">
    <cfRule type="cellIs" dxfId="41" priority="42" operator="greaterThan">
      <formula>$G$61</formula>
    </cfRule>
  </conditionalFormatting>
  <conditionalFormatting sqref="H62">
    <cfRule type="cellIs" dxfId="40" priority="41" operator="greaterThan">
      <formula>$G$62</formula>
    </cfRule>
  </conditionalFormatting>
  <conditionalFormatting sqref="H63">
    <cfRule type="cellIs" dxfId="39" priority="40" operator="greaterThan">
      <formula>$G$63</formula>
    </cfRule>
  </conditionalFormatting>
  <conditionalFormatting sqref="H64">
    <cfRule type="cellIs" dxfId="38" priority="39" operator="greaterThan">
      <formula>$G$64</formula>
    </cfRule>
  </conditionalFormatting>
  <conditionalFormatting sqref="I31">
    <cfRule type="cellIs" dxfId="37" priority="38" operator="lessThan">
      <formula>0</formula>
    </cfRule>
  </conditionalFormatting>
  <conditionalFormatting sqref="I32">
    <cfRule type="cellIs" dxfId="36" priority="37" operator="lessThan">
      <formula>0</formula>
    </cfRule>
  </conditionalFormatting>
  <conditionalFormatting sqref="I33">
    <cfRule type="cellIs" dxfId="35" priority="36" operator="lessThan">
      <formula>0</formula>
    </cfRule>
  </conditionalFormatting>
  <conditionalFormatting sqref="I34">
    <cfRule type="cellIs" dxfId="34" priority="35" operator="lessThan">
      <formula>0</formula>
    </cfRule>
  </conditionalFormatting>
  <conditionalFormatting sqref="I36">
    <cfRule type="cellIs" dxfId="33" priority="34" operator="lessThan">
      <formula>0</formula>
    </cfRule>
  </conditionalFormatting>
  <conditionalFormatting sqref="I37">
    <cfRule type="cellIs" dxfId="32" priority="33" operator="lessThan">
      <formula>0</formula>
    </cfRule>
  </conditionalFormatting>
  <conditionalFormatting sqref="I38">
    <cfRule type="cellIs" dxfId="31" priority="32" operator="lessThan">
      <formula>0</formula>
    </cfRule>
  </conditionalFormatting>
  <conditionalFormatting sqref="I39">
    <cfRule type="cellIs" dxfId="30" priority="31" operator="lessThan">
      <formula>0</formula>
    </cfRule>
  </conditionalFormatting>
  <conditionalFormatting sqref="I40">
    <cfRule type="cellIs" dxfId="29" priority="30" operator="lessThan">
      <formula>0</formula>
    </cfRule>
  </conditionalFormatting>
  <conditionalFormatting sqref="I41">
    <cfRule type="cellIs" dxfId="28" priority="29" operator="lessThan">
      <formula>0</formula>
    </cfRule>
  </conditionalFormatting>
  <conditionalFormatting sqref="I42">
    <cfRule type="cellIs" dxfId="27" priority="28" operator="lessThan">
      <formula>0</formula>
    </cfRule>
  </conditionalFormatting>
  <conditionalFormatting sqref="I43">
    <cfRule type="cellIs" dxfId="26" priority="27" operator="lessThan">
      <formula>0</formula>
    </cfRule>
  </conditionalFormatting>
  <conditionalFormatting sqref="I44">
    <cfRule type="cellIs" dxfId="25" priority="26" operator="lessThan">
      <formula>0</formula>
    </cfRule>
  </conditionalFormatting>
  <conditionalFormatting sqref="I45">
    <cfRule type="cellIs" dxfId="24" priority="25" operator="lessThan">
      <formula>0</formula>
    </cfRule>
  </conditionalFormatting>
  <conditionalFormatting sqref="I46">
    <cfRule type="cellIs" dxfId="23" priority="24" operator="lessThan">
      <formula>0</formula>
    </cfRule>
  </conditionalFormatting>
  <conditionalFormatting sqref="I47">
    <cfRule type="cellIs" dxfId="22" priority="23" operator="lessThan">
      <formula>0</formula>
    </cfRule>
  </conditionalFormatting>
  <conditionalFormatting sqref="I48">
    <cfRule type="cellIs" dxfId="21" priority="22" operator="lessThan">
      <formula>0</formula>
    </cfRule>
  </conditionalFormatting>
  <conditionalFormatting sqref="I49">
    <cfRule type="cellIs" dxfId="20" priority="21" operator="lessThan">
      <formula>0</formula>
    </cfRule>
  </conditionalFormatting>
  <conditionalFormatting sqref="I50">
    <cfRule type="cellIs" dxfId="19" priority="20" operator="lessThan">
      <formula>0</formula>
    </cfRule>
  </conditionalFormatting>
  <conditionalFormatting sqref="I51">
    <cfRule type="cellIs" dxfId="18" priority="19" operator="lessThan">
      <formula>0</formula>
    </cfRule>
  </conditionalFormatting>
  <conditionalFormatting sqref="I52">
    <cfRule type="cellIs" dxfId="17" priority="18" operator="lessThan">
      <formula>0</formula>
    </cfRule>
  </conditionalFormatting>
  <conditionalFormatting sqref="I53">
    <cfRule type="cellIs" dxfId="16" priority="17" operator="lessThan">
      <formula>0</formula>
    </cfRule>
  </conditionalFormatting>
  <conditionalFormatting sqref="I54">
    <cfRule type="cellIs" dxfId="15" priority="16" operator="lessThan">
      <formula>0</formula>
    </cfRule>
  </conditionalFormatting>
  <conditionalFormatting sqref="I55">
    <cfRule type="cellIs" dxfId="14" priority="15" operator="lessThan">
      <formula>0</formula>
    </cfRule>
  </conditionalFormatting>
  <conditionalFormatting sqref="I56">
    <cfRule type="cellIs" dxfId="13" priority="14" operator="lessThan">
      <formula>0</formula>
    </cfRule>
  </conditionalFormatting>
  <conditionalFormatting sqref="I57">
    <cfRule type="cellIs" dxfId="12" priority="13" operator="lessThan">
      <formula>0</formula>
    </cfRule>
  </conditionalFormatting>
  <conditionalFormatting sqref="I58">
    <cfRule type="cellIs" dxfId="11" priority="12" operator="lessThan">
      <formula>0</formula>
    </cfRule>
  </conditionalFormatting>
  <conditionalFormatting sqref="I59">
    <cfRule type="cellIs" dxfId="10" priority="11" operator="lessThan">
      <formula>0</formula>
    </cfRule>
  </conditionalFormatting>
  <conditionalFormatting sqref="I60">
    <cfRule type="cellIs" dxfId="9" priority="10" operator="lessThan">
      <formula>0</formula>
    </cfRule>
  </conditionalFormatting>
  <conditionalFormatting sqref="I61">
    <cfRule type="cellIs" dxfId="8" priority="9" operator="lessThan">
      <formula>0</formula>
    </cfRule>
  </conditionalFormatting>
  <conditionalFormatting sqref="I62">
    <cfRule type="cellIs" dxfId="7" priority="8" operator="lessThan">
      <formula>0</formula>
    </cfRule>
  </conditionalFormatting>
  <conditionalFormatting sqref="I63">
    <cfRule type="cellIs" dxfId="6" priority="7" operator="lessThan">
      <formula>0</formula>
    </cfRule>
  </conditionalFormatting>
  <conditionalFormatting sqref="I64">
    <cfRule type="cellIs" dxfId="5" priority="6" operator="lessThan">
      <formula>0</formula>
    </cfRule>
  </conditionalFormatting>
  <conditionalFormatting sqref="I65">
    <cfRule type="cellIs" dxfId="4" priority="5" operator="lessThan">
      <formula>0</formula>
    </cfRule>
  </conditionalFormatting>
  <conditionalFormatting sqref="F26:G26">
    <cfRule type="cellIs" dxfId="3" priority="4" operator="greaterThan">
      <formula>$C$9</formula>
    </cfRule>
  </conditionalFormatting>
  <conditionalFormatting sqref="H26">
    <cfRule type="cellIs" dxfId="2" priority="3" operator="greaterThan">
      <formula>$F$26</formula>
    </cfRule>
  </conditionalFormatting>
  <conditionalFormatting sqref="E65:F65">
    <cfRule type="cellIs" dxfId="1" priority="2" operator="greaterThan">
      <formula>$C$9</formula>
    </cfRule>
  </conditionalFormatting>
  <conditionalFormatting sqref="G65">
    <cfRule type="cellIs" dxfId="0" priority="1" operator="greaterThan">
      <formula>$E$65</formula>
    </cfRule>
  </conditionalFormatting>
  <dataValidations count="5">
    <dataValidation type="list" allowBlank="1" showInputMessage="1" showErrorMessage="1" sqref="C31:C32 C43 C54">
      <formula1>"활동비,사업운영비"</formula1>
    </dataValidation>
    <dataValidation type="list" allowBlank="1" showInputMessage="1" showErrorMessage="1" sqref="C5">
      <formula1>"씨앗,줄기,열매,자율의제"</formula1>
    </dataValidation>
    <dataValidation type="list" allowBlank="1" showInputMessage="1" showErrorMessage="1" sqref="M31:M80">
      <formula1>"세부사업 1, 세부사업 2, 세부사업 3"</formula1>
    </dataValidation>
    <dataValidation type="list" allowBlank="1" showInputMessage="1" showErrorMessage="1" sqref="Q31:Q80">
      <formula1>"체크카드,계좌이체"</formula1>
    </dataValidation>
    <dataValidation type="list" allowBlank="1" showInputMessage="1" showErrorMessage="1" sqref="N31:N80">
      <formula1>"일반활동비,홍보인쇄비,소모품구입비,임차비,여비,식비및다과비,회의비,원고비,강사비,공연비,견학비,인터넷통신우편비"</formula1>
    </dataValidation>
  </dataValidations>
  <pageMargins left="0.7" right="0.7" top="0.75" bottom="0.75" header="0.3" footer="0.3"/>
  <pageSetup paperSize="9" orientation="portrait" r:id="rId1"/>
  <ignoredErrors>
    <ignoredError sqref="I31:I64 J16:J17 J14:J15 J18:J25" unlockedFormula="1"/>
    <ignoredError sqref="G65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집행내역관리</vt:lpstr>
      <vt:lpstr>입력예시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최은주 유성구지역공동체지원센터</dc:creator>
  <cp:lastModifiedBy>KF30</cp:lastModifiedBy>
  <dcterms:created xsi:type="dcterms:W3CDTF">2024-05-10T05:53:59Z</dcterms:created>
  <dcterms:modified xsi:type="dcterms:W3CDTF">2024-05-28T01:53:14Z</dcterms:modified>
</cp:coreProperties>
</file>