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OneDrive\바탕 화면\JS그룹\마을공동체\2025\"/>
    </mc:Choice>
  </mc:AlternateContent>
  <xr:revisionPtr revIDLastSave="0" documentId="13_ncr:1_{50562771-9701-4E88-BA8E-8F1BD97F5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서" sheetId="43" r:id="rId1"/>
  </sheets>
  <definedNames>
    <definedName name="_xlnm.Print_Area" localSheetId="0">견적서!$A$1:$G$41</definedName>
  </definedNames>
  <calcPr calcId="191029" concurrentManualCount="8"/>
</workbook>
</file>

<file path=xl/calcChain.xml><?xml version="1.0" encoding="utf-8"?>
<calcChain xmlns="http://schemas.openxmlformats.org/spreadsheetml/2006/main">
  <c r="E35" i="43" l="1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7" i="43"/>
  <c r="E38" i="43"/>
  <c r="E39" i="43"/>
  <c r="E40" i="43"/>
  <c r="E36" i="43" l="1"/>
  <c r="E34" i="43"/>
  <c r="E12" i="43"/>
  <c r="E11" i="43"/>
  <c r="E10" i="43"/>
  <c r="E41" i="43" l="1"/>
  <c r="A7" i="43" s="1"/>
</calcChain>
</file>

<file path=xl/sharedStrings.xml><?xml version="1.0" encoding="utf-8"?>
<sst xmlns="http://schemas.openxmlformats.org/spreadsheetml/2006/main" count="38" uniqueCount="37">
  <si>
    <t>등록번호</t>
  </si>
  <si>
    <t>305-86-12462</t>
    <phoneticPr fontId="4" type="noConversion"/>
  </si>
  <si>
    <t>상호</t>
  </si>
  <si>
    <t>㈜루히</t>
    <phoneticPr fontId="4" type="noConversion"/>
  </si>
  <si>
    <t>성명</t>
  </si>
  <si>
    <t>박형근</t>
    <phoneticPr fontId="4" type="noConversion"/>
  </si>
  <si>
    <t>주소</t>
  </si>
  <si>
    <t>업태</t>
  </si>
  <si>
    <t>도.소 매</t>
  </si>
  <si>
    <t>종목</t>
  </si>
  <si>
    <t>제과재료</t>
    <phoneticPr fontId="4" type="noConversion"/>
  </si>
  <si>
    <t>규  격</t>
  </si>
  <si>
    <t>수량</t>
  </si>
  <si>
    <t>단 가</t>
  </si>
  <si>
    <t>금     액</t>
  </si>
  <si>
    <t>비     고</t>
  </si>
  <si>
    <t>합      계</t>
  </si>
  <si>
    <t xml:space="preserve"> </t>
    <phoneticPr fontId="4" type="noConversion"/>
  </si>
  <si>
    <t xml:space="preserve">                                                                                                                                               </t>
    <phoneticPr fontId="4" type="noConversion"/>
  </si>
  <si>
    <t xml:space="preserve">                                             </t>
    <phoneticPr fontId="4" type="noConversion"/>
  </si>
  <si>
    <t>상   품   명</t>
    <phoneticPr fontId="4" type="noConversion"/>
  </si>
  <si>
    <t>대전광역시 대덕구오정동 9-18</t>
    <phoneticPr fontId="4" type="noConversion"/>
  </si>
  <si>
    <t>거래명세서</t>
    <phoneticPr fontId="4" type="noConversion"/>
  </si>
  <si>
    <t>베이커리 온쉼 귀중</t>
    <phoneticPr fontId="4" type="noConversion"/>
  </si>
  <si>
    <t>유기농강력제빵</t>
    <phoneticPr fontId="4" type="noConversion"/>
  </si>
  <si>
    <t>20kg</t>
    <phoneticPr fontId="4" type="noConversion"/>
  </si>
  <si>
    <t>건조이스트(레드)</t>
    <phoneticPr fontId="4" type="noConversion"/>
  </si>
  <si>
    <t>몰트엑기스</t>
    <phoneticPr fontId="4" type="noConversion"/>
  </si>
  <si>
    <t>올리브오일(대)</t>
    <phoneticPr fontId="4" type="noConversion"/>
  </si>
  <si>
    <t>크림치즈(라스카스)</t>
    <phoneticPr fontId="4" type="noConversion"/>
  </si>
  <si>
    <t>고구마다이스(소)</t>
    <phoneticPr fontId="4" type="noConversion"/>
  </si>
  <si>
    <t>500g</t>
    <phoneticPr fontId="4" type="noConversion"/>
  </si>
  <si>
    <t>1.25kg</t>
    <phoneticPr fontId="4" type="noConversion"/>
  </si>
  <si>
    <t>5L</t>
    <phoneticPr fontId="4" type="noConversion"/>
  </si>
  <si>
    <t>1.36kg</t>
    <phoneticPr fontId="4" type="noConversion"/>
  </si>
  <si>
    <t>3kg</t>
    <phoneticPr fontId="4" type="noConversion"/>
  </si>
  <si>
    <t xml:space="preserve">   2025년 9 월 3 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</si>
</sst>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22"/>
      <name val="궁서체"/>
      <family val="1"/>
      <charset val="129"/>
    </font>
    <font>
      <sz val="8"/>
      <name val="맑은 고딕"/>
      <family val="2"/>
      <charset val="129"/>
      <scheme val="minor"/>
    </font>
    <font>
      <b/>
      <u/>
      <sz val="20"/>
      <name val="궁서체"/>
      <family val="1"/>
      <charset val="129"/>
    </font>
    <font>
      <b/>
      <sz val="8"/>
      <name val="궁서체"/>
      <family val="1"/>
      <charset val="129"/>
    </font>
    <font>
      <b/>
      <sz val="11"/>
      <name val="궁서체"/>
      <family val="1"/>
      <charset val="129"/>
    </font>
    <font>
      <b/>
      <sz val="12"/>
      <name val="궁서체"/>
      <family val="1"/>
      <charset val="129"/>
    </font>
    <font>
      <b/>
      <u/>
      <sz val="12"/>
      <name val="궁서체"/>
      <family val="1"/>
      <charset val="129"/>
    </font>
    <font>
      <b/>
      <sz val="14"/>
      <name val="궁서체"/>
      <family val="1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2"/>
      <color rgb="FF000000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3"/>
      <name val="맑은 고딕"/>
      <family val="3"/>
      <charset val="129"/>
    </font>
    <font>
      <sz val="11"/>
      <color indexed="16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u/>
      <sz val="11"/>
      <color theme="1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9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2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0" borderId="11" applyNumberForma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9" fillId="4" borderId="12" applyNumberFormat="0" applyFont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3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0" borderId="19" applyNumberFormat="0" applyAlignment="0" applyProtection="0">
      <alignment vertical="center"/>
    </xf>
    <xf numFmtId="0" fontId="39" fillId="0" borderId="0"/>
    <xf numFmtId="0" fontId="25" fillId="30" borderId="11" applyNumberFormat="0" applyAlignment="0" applyProtection="0">
      <alignment vertical="center"/>
    </xf>
    <xf numFmtId="0" fontId="19" fillId="4" borderId="12" applyNumberFormat="0" applyFon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8" fillId="30" borderId="19" applyNumberForma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50">
    <xf numFmtId="0" fontId="0" fillId="0" borderId="0" xfId="0">
      <alignment vertical="center"/>
    </xf>
    <xf numFmtId="0" fontId="5" fillId="0" borderId="4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4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7" fillId="0" borderId="5" xfId="2" applyFont="1" applyBorder="1" applyAlignment="1">
      <alignment horizontal="center" vertical="center"/>
    </xf>
    <xf numFmtId="14" fontId="8" fillId="0" borderId="4" xfId="2" applyNumberFormat="1" applyFont="1" applyBorder="1" applyAlignment="1">
      <alignment vertical="center"/>
    </xf>
    <xf numFmtId="0" fontId="8" fillId="0" borderId="0" xfId="2" applyFont="1" applyAlignment="1">
      <alignment vertical="center"/>
    </xf>
    <xf numFmtId="0" fontId="8" fillId="0" borderId="4" xfId="2" applyFont="1" applyBorder="1" applyAlignment="1">
      <alignment vertical="center"/>
    </xf>
    <xf numFmtId="0" fontId="8" fillId="0" borderId="4" xfId="2" applyFont="1" applyBorder="1"/>
    <xf numFmtId="0" fontId="9" fillId="0" borderId="0" xfId="2" applyFont="1" applyAlignment="1">
      <alignment vertical="center"/>
    </xf>
    <xf numFmtId="0" fontId="6" fillId="0" borderId="5" xfId="2" applyFont="1" applyBorder="1" applyAlignment="1">
      <alignment horizontal="center" vertical="center"/>
    </xf>
    <xf numFmtId="41" fontId="12" fillId="0" borderId="5" xfId="1" applyFont="1" applyFill="1" applyBorder="1" applyAlignment="1">
      <alignment horizontal="center" vertical="center"/>
    </xf>
    <xf numFmtId="0" fontId="13" fillId="0" borderId="0" xfId="3">
      <alignment vertical="center"/>
    </xf>
    <xf numFmtId="0" fontId="7" fillId="0" borderId="5" xfId="2" applyFont="1" applyBorder="1" applyAlignment="1">
      <alignment horizontal="left" vertical="center" indent="1"/>
    </xf>
    <xf numFmtId="38" fontId="7" fillId="0" borderId="5" xfId="2" applyNumberFormat="1" applyFont="1" applyBorder="1" applyAlignment="1">
      <alignment horizontal="center" vertical="center"/>
    </xf>
    <xf numFmtId="176" fontId="7" fillId="0" borderId="5" xfId="2" applyNumberFormat="1" applyFont="1" applyBorder="1" applyAlignment="1">
      <alignment horizontal="right" vertical="center"/>
    </xf>
    <xf numFmtId="41" fontId="7" fillId="0" borderId="5" xfId="4" applyFont="1" applyBorder="1" applyAlignment="1">
      <alignment horizontal="left" vertical="center"/>
    </xf>
    <xf numFmtId="0" fontId="15" fillId="0" borderId="0" xfId="6">
      <alignment vertical="center"/>
    </xf>
    <xf numFmtId="0" fontId="12" fillId="0" borderId="0" xfId="0" applyFont="1">
      <alignment vertical="center"/>
    </xf>
    <xf numFmtId="0" fontId="14" fillId="0" borderId="0" xfId="5" applyAlignment="1" applyProtection="1">
      <alignment vertical="center"/>
    </xf>
    <xf numFmtId="0" fontId="14" fillId="0" borderId="0" xfId="5" applyFill="1" applyBorder="1" applyAlignment="1" applyProtection="1">
      <alignment vertical="center"/>
    </xf>
    <xf numFmtId="0" fontId="7" fillId="0" borderId="10" xfId="2" applyFont="1" applyBorder="1" applyAlignment="1">
      <alignment horizontal="center" vertical="center"/>
    </xf>
    <xf numFmtId="0" fontId="0" fillId="0" borderId="5" xfId="0" quotePrefix="1" applyBorder="1">
      <alignment vertical="center"/>
    </xf>
    <xf numFmtId="176" fontId="0" fillId="0" borderId="5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41" fontId="43" fillId="0" borderId="5" xfId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41" fontId="7" fillId="0" borderId="1" xfId="4" applyFont="1" applyBorder="1" applyAlignment="1">
      <alignment horizontal="center" vertical="center"/>
    </xf>
    <xf numFmtId="41" fontId="7" fillId="0" borderId="3" xfId="4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6" fillId="0" borderId="2" xfId="2" applyFont="1" applyBorder="1" applyAlignment="1">
      <alignment horizontal="right" vertical="top"/>
    </xf>
    <xf numFmtId="0" fontId="6" fillId="0" borderId="3" xfId="2" applyFont="1" applyBorder="1" applyAlignment="1">
      <alignment horizontal="right" vertical="top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shrinkToFit="1"/>
    </xf>
    <xf numFmtId="0" fontId="7" fillId="0" borderId="2" xfId="2" applyFont="1" applyBorder="1" applyAlignment="1">
      <alignment horizontal="center" vertical="center" shrinkToFit="1"/>
    </xf>
    <xf numFmtId="0" fontId="7" fillId="0" borderId="3" xfId="2" applyFont="1" applyBorder="1" applyAlignment="1">
      <alignment horizontal="center" vertical="center" shrinkToFit="1"/>
    </xf>
    <xf numFmtId="0" fontId="10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</cellXfs>
  <cellStyles count="195">
    <cellStyle name="??&amp;O?&amp;H?_x0008_??_x0007__x0001__x0001_" xfId="13" xr:uid="{00000000-0005-0000-0000-000000000000}"/>
    <cellStyle name="20% - 강조색1 2" xfId="97" xr:uid="{00000000-0005-0000-0000-000001000000}"/>
    <cellStyle name="20% - 강조색2 2" xfId="98" xr:uid="{00000000-0005-0000-0000-000002000000}"/>
    <cellStyle name="20% - 강조색3 2" xfId="99" xr:uid="{00000000-0005-0000-0000-000003000000}"/>
    <cellStyle name="20% - 강조색4 2" xfId="100" xr:uid="{00000000-0005-0000-0000-000004000000}"/>
    <cellStyle name="20% - 강조색5 2" xfId="101" xr:uid="{00000000-0005-0000-0000-000005000000}"/>
    <cellStyle name="20% - 강조색6 2" xfId="102" xr:uid="{00000000-0005-0000-0000-000006000000}"/>
    <cellStyle name="40% - 강조색1 2" xfId="103" xr:uid="{00000000-0005-0000-0000-000007000000}"/>
    <cellStyle name="40% - 강조색2 2" xfId="104" xr:uid="{00000000-0005-0000-0000-000008000000}"/>
    <cellStyle name="40% - 강조색3 2" xfId="105" xr:uid="{00000000-0005-0000-0000-000009000000}"/>
    <cellStyle name="40% - 강조색4 2" xfId="106" xr:uid="{00000000-0005-0000-0000-00000A000000}"/>
    <cellStyle name="40% - 강조색5 2" xfId="107" xr:uid="{00000000-0005-0000-0000-00000B000000}"/>
    <cellStyle name="40% - 강조색6 2" xfId="108" xr:uid="{00000000-0005-0000-0000-00000C000000}"/>
    <cellStyle name="60% - 강조색1 2" xfId="109" xr:uid="{00000000-0005-0000-0000-00000D000000}"/>
    <cellStyle name="60% - 강조색2 2" xfId="110" xr:uid="{00000000-0005-0000-0000-00000E000000}"/>
    <cellStyle name="60% - 강조색3 2" xfId="111" xr:uid="{00000000-0005-0000-0000-00000F000000}"/>
    <cellStyle name="60% - 강조색4 2" xfId="112" xr:uid="{00000000-0005-0000-0000-000010000000}"/>
    <cellStyle name="60% - 강조색5 2" xfId="113" xr:uid="{00000000-0005-0000-0000-000011000000}"/>
    <cellStyle name="60% - 강조색6 2" xfId="114" xr:uid="{00000000-0005-0000-0000-000012000000}"/>
    <cellStyle name="Hyperlink" xfId="8" xr:uid="{00000000-0005-0000-0000-000013000000}"/>
    <cellStyle name="ハイパーリンク 4" xfId="11" xr:uid="{00000000-0005-0000-0000-000014000000}"/>
    <cellStyle name="ハイパーリンク 6" xfId="12" xr:uid="{00000000-0005-0000-0000-000015000000}"/>
    <cellStyle name="강조색1 2" xfId="115" xr:uid="{00000000-0005-0000-0000-000016000000}"/>
    <cellStyle name="강조색2 2" xfId="116" xr:uid="{00000000-0005-0000-0000-000017000000}"/>
    <cellStyle name="강조색3 2" xfId="117" xr:uid="{00000000-0005-0000-0000-000018000000}"/>
    <cellStyle name="강조색4 2" xfId="118" xr:uid="{00000000-0005-0000-0000-000019000000}"/>
    <cellStyle name="강조색5 2" xfId="119" xr:uid="{00000000-0005-0000-0000-00001A000000}"/>
    <cellStyle name="강조색6 2" xfId="120" xr:uid="{00000000-0005-0000-0000-00001B000000}"/>
    <cellStyle name="경고문 2" xfId="121" xr:uid="{00000000-0005-0000-0000-00001C000000}"/>
    <cellStyle name="계산 2" xfId="122" xr:uid="{00000000-0005-0000-0000-00001D000000}"/>
    <cellStyle name="계산 3" xfId="139" xr:uid="{00000000-0005-0000-0000-00001E000000}"/>
    <cellStyle name="나쁨 2" xfId="94" xr:uid="{00000000-0005-0000-0000-00001F000000}"/>
    <cellStyle name="나쁨 3" xfId="123" xr:uid="{00000000-0005-0000-0000-000020000000}"/>
    <cellStyle name="메모 2" xfId="124" xr:uid="{00000000-0005-0000-0000-000021000000}"/>
    <cellStyle name="메모 3" xfId="140" xr:uid="{00000000-0005-0000-0000-000022000000}"/>
    <cellStyle name="보통 2" xfId="125" xr:uid="{00000000-0005-0000-0000-000023000000}"/>
    <cellStyle name="설명 텍스트 2" xfId="126" xr:uid="{00000000-0005-0000-0000-000024000000}"/>
    <cellStyle name="셀 확인 2" xfId="127" xr:uid="{00000000-0005-0000-0000-000025000000}"/>
    <cellStyle name="쉼표 [0]" xfId="1" builtinId="6"/>
    <cellStyle name="쉼표 [0] 2" xfId="4" xr:uid="{00000000-0005-0000-0000-000027000000}"/>
    <cellStyle name="쉼표 [0] 2 2" xfId="40" xr:uid="{00000000-0005-0000-0000-000028000000}"/>
    <cellStyle name="쉼표 [0] 2 2 2" xfId="17" xr:uid="{00000000-0005-0000-0000-000029000000}"/>
    <cellStyle name="쉼표 [0] 2 2 2 2" xfId="20" xr:uid="{00000000-0005-0000-0000-00002A000000}"/>
    <cellStyle name="쉼표 [0] 2 2 3" xfId="19" xr:uid="{00000000-0005-0000-0000-00002B000000}"/>
    <cellStyle name="쉼표 [0] 2 3" xfId="61" xr:uid="{00000000-0005-0000-0000-00002C000000}"/>
    <cellStyle name="쉼표 [0] 2 3 2" xfId="83" xr:uid="{00000000-0005-0000-0000-00002D000000}"/>
    <cellStyle name="쉼표 [0] 2 3 3" xfId="23" xr:uid="{00000000-0005-0000-0000-00002E000000}"/>
    <cellStyle name="쉼표 [0] 2 4" xfId="72" xr:uid="{00000000-0005-0000-0000-00002F000000}"/>
    <cellStyle name="쉼표 [0] 2 4 2" xfId="15" xr:uid="{00000000-0005-0000-0000-000030000000}"/>
    <cellStyle name="쉼표 [0] 2 4 3" xfId="18" xr:uid="{00000000-0005-0000-0000-000031000000}"/>
    <cellStyle name="쉼표 [0] 2 5" xfId="35" xr:uid="{00000000-0005-0000-0000-000032000000}"/>
    <cellStyle name="쉼표 [0] 2 8" xfId="16" xr:uid="{00000000-0005-0000-0000-000033000000}"/>
    <cellStyle name="쉼표 [0] 3" xfId="41" xr:uid="{00000000-0005-0000-0000-000034000000}"/>
    <cellStyle name="쉼표 [0] 3 2" xfId="22" xr:uid="{00000000-0005-0000-0000-000035000000}"/>
    <cellStyle name="쉼표 [0] 4" xfId="39" xr:uid="{00000000-0005-0000-0000-000036000000}"/>
    <cellStyle name="쉼표 [0] 5" xfId="144" xr:uid="{00000000-0005-0000-0000-000037000000}"/>
    <cellStyle name="쉼표 [0] 7" xfId="21" xr:uid="{00000000-0005-0000-0000-000038000000}"/>
    <cellStyle name="연결된 셀 2" xfId="128" xr:uid="{00000000-0005-0000-0000-000039000000}"/>
    <cellStyle name="요약 2" xfId="129" xr:uid="{00000000-0005-0000-0000-00003A000000}"/>
    <cellStyle name="요약 3" xfId="141" xr:uid="{00000000-0005-0000-0000-00003B000000}"/>
    <cellStyle name="입력 2" xfId="130" xr:uid="{00000000-0005-0000-0000-00003C000000}"/>
    <cellStyle name="입력 3" xfId="142" xr:uid="{00000000-0005-0000-0000-00003D000000}"/>
    <cellStyle name="제목 1 2" xfId="132" xr:uid="{00000000-0005-0000-0000-00003E000000}"/>
    <cellStyle name="제목 2 2" xfId="133" xr:uid="{00000000-0005-0000-0000-00003F000000}"/>
    <cellStyle name="제목 3 2" xfId="134" xr:uid="{00000000-0005-0000-0000-000040000000}"/>
    <cellStyle name="제목 4 2" xfId="135" xr:uid="{00000000-0005-0000-0000-000041000000}"/>
    <cellStyle name="제목 5" xfId="131" xr:uid="{00000000-0005-0000-0000-000042000000}"/>
    <cellStyle name="좋음 2" xfId="93" xr:uid="{00000000-0005-0000-0000-000043000000}"/>
    <cellStyle name="좋음 3" xfId="136" xr:uid="{00000000-0005-0000-0000-000044000000}"/>
    <cellStyle name="출력 2" xfId="137" xr:uid="{00000000-0005-0000-0000-000045000000}"/>
    <cellStyle name="출력 3" xfId="143" xr:uid="{00000000-0005-0000-0000-000046000000}"/>
    <cellStyle name="표준" xfId="0" builtinId="0"/>
    <cellStyle name="표준 10" xfId="14" xr:uid="{00000000-0005-0000-0000-000048000000}"/>
    <cellStyle name="표준 10 2" xfId="38" xr:uid="{00000000-0005-0000-0000-000049000000}"/>
    <cellStyle name="표준 10 3" xfId="194" xr:uid="{00000000-0005-0000-0000-00004A000000}"/>
    <cellStyle name="표준 11" xfId="6" xr:uid="{00000000-0005-0000-0000-00004B000000}"/>
    <cellStyle name="표준 11 2" xfId="51" xr:uid="{00000000-0005-0000-0000-00004C000000}"/>
    <cellStyle name="표준 11 3" xfId="62" xr:uid="{00000000-0005-0000-0000-00004D000000}"/>
    <cellStyle name="표준 11 3 2" xfId="84" xr:uid="{00000000-0005-0000-0000-00004E000000}"/>
    <cellStyle name="표준 11 4" xfId="73" xr:uid="{00000000-0005-0000-0000-00004F000000}"/>
    <cellStyle name="표준 11 5" xfId="37" xr:uid="{00000000-0005-0000-0000-000050000000}"/>
    <cellStyle name="표준 12" xfId="87" xr:uid="{00000000-0005-0000-0000-000051000000}"/>
    <cellStyle name="표준 12 2" xfId="147" xr:uid="{00000000-0005-0000-0000-000052000000}"/>
    <cellStyle name="표준 12 3" xfId="146" xr:uid="{00000000-0005-0000-0000-000053000000}"/>
    <cellStyle name="표준 13" xfId="95" xr:uid="{00000000-0005-0000-0000-000054000000}"/>
    <cellStyle name="표준 13 2" xfId="149" xr:uid="{00000000-0005-0000-0000-000055000000}"/>
    <cellStyle name="표준 13 3" xfId="148" xr:uid="{00000000-0005-0000-0000-000056000000}"/>
    <cellStyle name="표준 14" xfId="145" xr:uid="{00000000-0005-0000-0000-000057000000}"/>
    <cellStyle name="표준 14 2" xfId="151" xr:uid="{00000000-0005-0000-0000-000058000000}"/>
    <cellStyle name="표준 14 3" xfId="150" xr:uid="{00000000-0005-0000-0000-000059000000}"/>
    <cellStyle name="표준 15" xfId="7" xr:uid="{00000000-0005-0000-0000-00005A000000}"/>
    <cellStyle name="표준 15 2" xfId="24" xr:uid="{00000000-0005-0000-0000-00005B000000}"/>
    <cellStyle name="표준 15 2 2" xfId="152" xr:uid="{00000000-0005-0000-0000-00005C000000}"/>
    <cellStyle name="표준 16" xfId="153" xr:uid="{00000000-0005-0000-0000-00005D000000}"/>
    <cellStyle name="표준 16 2" xfId="154" xr:uid="{00000000-0005-0000-0000-00005E000000}"/>
    <cellStyle name="표준 17" xfId="155" xr:uid="{00000000-0005-0000-0000-00005F000000}"/>
    <cellStyle name="표준 19" xfId="156" xr:uid="{00000000-0005-0000-0000-000060000000}"/>
    <cellStyle name="표준 2" xfId="2" xr:uid="{00000000-0005-0000-0000-000061000000}"/>
    <cellStyle name="표준 2 2" xfId="85" xr:uid="{00000000-0005-0000-0000-000062000000}"/>
    <cellStyle name="標準 2 2" xfId="192" xr:uid="{00000000-0005-0000-0000-000063000000}"/>
    <cellStyle name="표준 2 2 2" xfId="157" xr:uid="{00000000-0005-0000-0000-000064000000}"/>
    <cellStyle name="標準 2 2 2" xfId="9" xr:uid="{00000000-0005-0000-0000-000065000000}"/>
    <cellStyle name="표준 2 3" xfId="138" xr:uid="{00000000-0005-0000-0000-000066000000}"/>
    <cellStyle name="표준 2 3 2" xfId="159" xr:uid="{00000000-0005-0000-0000-000067000000}"/>
    <cellStyle name="표준 2 3 3" xfId="158" xr:uid="{00000000-0005-0000-0000-000068000000}"/>
    <cellStyle name="표준 2 4" xfId="160" xr:uid="{00000000-0005-0000-0000-000069000000}"/>
    <cellStyle name="標準 2 4" xfId="193" xr:uid="{00000000-0005-0000-0000-00006A000000}"/>
    <cellStyle name="標準 2 4 3" xfId="10" xr:uid="{00000000-0005-0000-0000-00006B000000}"/>
    <cellStyle name="표준 2 5" xfId="161" xr:uid="{00000000-0005-0000-0000-00006C000000}"/>
    <cellStyle name="표준 23" xfId="162" xr:uid="{00000000-0005-0000-0000-00006D000000}"/>
    <cellStyle name="표준 24" xfId="163" xr:uid="{00000000-0005-0000-0000-00006E000000}"/>
    <cellStyle name="표준 24 2" xfId="164" xr:uid="{00000000-0005-0000-0000-00006F000000}"/>
    <cellStyle name="표준 24 2 2" xfId="165" xr:uid="{00000000-0005-0000-0000-000070000000}"/>
    <cellStyle name="표준 24 2 2 2" xfId="166" xr:uid="{00000000-0005-0000-0000-000071000000}"/>
    <cellStyle name="표준 24 2 2 2 2" xfId="167" xr:uid="{00000000-0005-0000-0000-000072000000}"/>
    <cellStyle name="표준 24 2 2 2 3" xfId="168" xr:uid="{00000000-0005-0000-0000-000073000000}"/>
    <cellStyle name="표준 24 2 2 3" xfId="169" xr:uid="{00000000-0005-0000-0000-000074000000}"/>
    <cellStyle name="표준 24 2 2 4" xfId="170" xr:uid="{00000000-0005-0000-0000-000075000000}"/>
    <cellStyle name="표준 24 2 3" xfId="171" xr:uid="{00000000-0005-0000-0000-000076000000}"/>
    <cellStyle name="표준 24 2 3 2" xfId="172" xr:uid="{00000000-0005-0000-0000-000077000000}"/>
    <cellStyle name="표준 24 2 3 3" xfId="173" xr:uid="{00000000-0005-0000-0000-000078000000}"/>
    <cellStyle name="표준 24 2 4" xfId="174" xr:uid="{00000000-0005-0000-0000-000079000000}"/>
    <cellStyle name="표준 24 2 5" xfId="175" xr:uid="{00000000-0005-0000-0000-00007A000000}"/>
    <cellStyle name="표준 24 3" xfId="176" xr:uid="{00000000-0005-0000-0000-00007B000000}"/>
    <cellStyle name="표준 24 3 2" xfId="177" xr:uid="{00000000-0005-0000-0000-00007C000000}"/>
    <cellStyle name="표준 24 3 2 2" xfId="178" xr:uid="{00000000-0005-0000-0000-00007D000000}"/>
    <cellStyle name="표준 24 3 2 3" xfId="179" xr:uid="{00000000-0005-0000-0000-00007E000000}"/>
    <cellStyle name="표준 24 3 3" xfId="180" xr:uid="{00000000-0005-0000-0000-00007F000000}"/>
    <cellStyle name="표준 24 3 4" xfId="181" xr:uid="{00000000-0005-0000-0000-000080000000}"/>
    <cellStyle name="표준 24 4" xfId="182" xr:uid="{00000000-0005-0000-0000-000081000000}"/>
    <cellStyle name="표준 24 4 2" xfId="183" xr:uid="{00000000-0005-0000-0000-000082000000}"/>
    <cellStyle name="표준 24 4 3" xfId="184" xr:uid="{00000000-0005-0000-0000-000083000000}"/>
    <cellStyle name="표준 24 5" xfId="185" xr:uid="{00000000-0005-0000-0000-000084000000}"/>
    <cellStyle name="표준 24 6" xfId="186" xr:uid="{00000000-0005-0000-0000-000085000000}"/>
    <cellStyle name="표준 3" xfId="25" xr:uid="{00000000-0005-0000-0000-000086000000}"/>
    <cellStyle name="표준 3 2" xfId="31" xr:uid="{00000000-0005-0000-0000-000087000000}"/>
    <cellStyle name="표준 3 2 2" xfId="43" xr:uid="{00000000-0005-0000-0000-000088000000}"/>
    <cellStyle name="표준 3 2 3" xfId="57" xr:uid="{00000000-0005-0000-0000-000089000000}"/>
    <cellStyle name="표준 3 2 3 2" xfId="79" xr:uid="{00000000-0005-0000-0000-00008A000000}"/>
    <cellStyle name="표준 3 2 4" xfId="68" xr:uid="{00000000-0005-0000-0000-00008B000000}"/>
    <cellStyle name="표준 3 2 5" xfId="89" xr:uid="{00000000-0005-0000-0000-00008C000000}"/>
    <cellStyle name="표준 3 2 6" xfId="187" xr:uid="{00000000-0005-0000-0000-00008D000000}"/>
    <cellStyle name="표준 3 3" xfId="42" xr:uid="{00000000-0005-0000-0000-00008E000000}"/>
    <cellStyle name="표준 3 4" xfId="52" xr:uid="{00000000-0005-0000-0000-00008F000000}"/>
    <cellStyle name="표준 3 4 2" xfId="74" xr:uid="{00000000-0005-0000-0000-000090000000}"/>
    <cellStyle name="표준 3 5" xfId="63" xr:uid="{00000000-0005-0000-0000-000091000000}"/>
    <cellStyle name="표준 3 6" xfId="86" xr:uid="{00000000-0005-0000-0000-000092000000}"/>
    <cellStyle name="표준 4" xfId="30" xr:uid="{00000000-0005-0000-0000-000093000000}"/>
    <cellStyle name="표준 4 2" xfId="188" xr:uid="{00000000-0005-0000-0000-000094000000}"/>
    <cellStyle name="표준 5" xfId="26" xr:uid="{00000000-0005-0000-0000-000095000000}"/>
    <cellStyle name="標準 5" xfId="191" xr:uid="{00000000-0005-0000-0000-000096000000}"/>
    <cellStyle name="표준 5 2" xfId="32" xr:uid="{00000000-0005-0000-0000-000097000000}"/>
    <cellStyle name="표준 5 2 2" xfId="45" xr:uid="{00000000-0005-0000-0000-000098000000}"/>
    <cellStyle name="표준 5 2 3" xfId="58" xr:uid="{00000000-0005-0000-0000-000099000000}"/>
    <cellStyle name="표준 5 2 3 2" xfId="80" xr:uid="{00000000-0005-0000-0000-00009A000000}"/>
    <cellStyle name="표준 5 2 4" xfId="69" xr:uid="{00000000-0005-0000-0000-00009B000000}"/>
    <cellStyle name="표준 5 3" xfId="44" xr:uid="{00000000-0005-0000-0000-00009C000000}"/>
    <cellStyle name="표준 5 4" xfId="53" xr:uid="{00000000-0005-0000-0000-00009D000000}"/>
    <cellStyle name="표준 5 4 2" xfId="75" xr:uid="{00000000-0005-0000-0000-00009E000000}"/>
    <cellStyle name="표준 5 5" xfId="64" xr:uid="{00000000-0005-0000-0000-00009F000000}"/>
    <cellStyle name="표준 5 6" xfId="90" xr:uid="{00000000-0005-0000-0000-0000A0000000}"/>
    <cellStyle name="표준 6" xfId="27" xr:uid="{00000000-0005-0000-0000-0000A1000000}"/>
    <cellStyle name="표준 6 2" xfId="33" xr:uid="{00000000-0005-0000-0000-0000A2000000}"/>
    <cellStyle name="표준 6 2 2" xfId="47" xr:uid="{00000000-0005-0000-0000-0000A3000000}"/>
    <cellStyle name="표준 6 2 3" xfId="59" xr:uid="{00000000-0005-0000-0000-0000A4000000}"/>
    <cellStyle name="표준 6 2 3 2" xfId="81" xr:uid="{00000000-0005-0000-0000-0000A5000000}"/>
    <cellStyle name="표준 6 2 4" xfId="70" xr:uid="{00000000-0005-0000-0000-0000A6000000}"/>
    <cellStyle name="표준 6 3" xfId="46" xr:uid="{00000000-0005-0000-0000-0000A7000000}"/>
    <cellStyle name="표준 6 4" xfId="54" xr:uid="{00000000-0005-0000-0000-0000A8000000}"/>
    <cellStyle name="표준 6 4 2" xfId="76" xr:uid="{00000000-0005-0000-0000-0000A9000000}"/>
    <cellStyle name="표준 6 5" xfId="65" xr:uid="{00000000-0005-0000-0000-0000AA000000}"/>
    <cellStyle name="표준 6 6" xfId="91" xr:uid="{00000000-0005-0000-0000-0000AB000000}"/>
    <cellStyle name="표준 7" xfId="28" xr:uid="{00000000-0005-0000-0000-0000AC000000}"/>
    <cellStyle name="표준 7 2" xfId="34" xr:uid="{00000000-0005-0000-0000-0000AD000000}"/>
    <cellStyle name="표준 7 2 2" xfId="49" xr:uid="{00000000-0005-0000-0000-0000AE000000}"/>
    <cellStyle name="표준 7 2 3" xfId="60" xr:uid="{00000000-0005-0000-0000-0000AF000000}"/>
    <cellStyle name="표준 7 2 3 2" xfId="82" xr:uid="{00000000-0005-0000-0000-0000B0000000}"/>
    <cellStyle name="표준 7 2 4" xfId="71" xr:uid="{00000000-0005-0000-0000-0000B1000000}"/>
    <cellStyle name="표준 7 3" xfId="48" xr:uid="{00000000-0005-0000-0000-0000B2000000}"/>
    <cellStyle name="표준 7 4" xfId="55" xr:uid="{00000000-0005-0000-0000-0000B3000000}"/>
    <cellStyle name="표준 7 4 2" xfId="77" xr:uid="{00000000-0005-0000-0000-0000B4000000}"/>
    <cellStyle name="표준 7 5" xfId="66" xr:uid="{00000000-0005-0000-0000-0000B5000000}"/>
    <cellStyle name="표준 7 6" xfId="92" xr:uid="{00000000-0005-0000-0000-0000B6000000}"/>
    <cellStyle name="표준 8" xfId="29" xr:uid="{00000000-0005-0000-0000-0000B7000000}"/>
    <cellStyle name="표준 8 2" xfId="50" xr:uid="{00000000-0005-0000-0000-0000B8000000}"/>
    <cellStyle name="표준 8 3" xfId="56" xr:uid="{00000000-0005-0000-0000-0000B9000000}"/>
    <cellStyle name="표준 8 3 2" xfId="78" xr:uid="{00000000-0005-0000-0000-0000BA000000}"/>
    <cellStyle name="표준 8 4" xfId="67" xr:uid="{00000000-0005-0000-0000-0000BB000000}"/>
    <cellStyle name="표준 9" xfId="36" xr:uid="{00000000-0005-0000-0000-0000BC000000}"/>
    <cellStyle name="표준 9 2" xfId="189" xr:uid="{00000000-0005-0000-0000-0000BD000000}"/>
    <cellStyle name="하이퍼링크" xfId="3" builtinId="8"/>
    <cellStyle name="하이퍼링크 2" xfId="5" xr:uid="{00000000-0005-0000-0000-0000BF000000}"/>
    <cellStyle name="하이퍼링크 2 2" xfId="88" xr:uid="{00000000-0005-0000-0000-0000C0000000}"/>
    <cellStyle name="하이퍼링크 2 3" xfId="190" xr:uid="{00000000-0005-0000-0000-0000C1000000}"/>
    <cellStyle name="하이퍼링크 3" xfId="96" xr:uid="{00000000-0005-0000-0000-0000C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323850</xdr:rowOff>
    </xdr:from>
    <xdr:to>
      <xdr:col>7</xdr:col>
      <xdr:colOff>57150</xdr:colOff>
      <xdr:row>3</xdr:row>
      <xdr:rowOff>194310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153025" y="323850"/>
          <a:ext cx="790575" cy="746760"/>
        </a:xfrm>
        <a:prstGeom prst="rect">
          <a:avLst/>
        </a:prstGeom>
        <a:effectLst>
          <a:softEdge rad="1524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Normal="100" workbookViewId="0">
      <selection activeCell="I10" sqref="I10"/>
    </sheetView>
  </sheetViews>
  <sheetFormatPr defaultRowHeight="16.5"/>
  <cols>
    <col min="1" max="1" width="22.125" customWidth="1"/>
    <col min="2" max="2" width="9.75" bestFit="1" customWidth="1"/>
    <col min="3" max="3" width="6.625" customWidth="1"/>
    <col min="4" max="4" width="10.25" customWidth="1"/>
    <col min="5" max="5" width="14.375" customWidth="1"/>
    <col min="6" max="6" width="6" bestFit="1" customWidth="1"/>
    <col min="7" max="7" width="8.125" bestFit="1" customWidth="1"/>
    <col min="10" max="10" width="18.625" customWidth="1"/>
  </cols>
  <sheetData>
    <row r="1" spans="1:8" ht="27">
      <c r="A1" s="32" t="s">
        <v>22</v>
      </c>
      <c r="B1" s="33"/>
      <c r="C1" s="33"/>
      <c r="D1" s="33"/>
      <c r="E1" s="33"/>
      <c r="F1" s="33"/>
      <c r="G1" s="34"/>
    </row>
    <row r="2" spans="1:8" ht="25.5">
      <c r="A2" s="1"/>
      <c r="B2" s="2"/>
      <c r="C2" s="2"/>
      <c r="D2" s="2"/>
      <c r="E2" s="2"/>
      <c r="F2" s="35"/>
      <c r="G2" s="36"/>
    </row>
    <row r="3" spans="1:8">
      <c r="A3" s="3"/>
      <c r="B3" s="4"/>
      <c r="C3" s="4"/>
      <c r="D3" s="5" t="s">
        <v>0</v>
      </c>
      <c r="E3" s="37" t="s">
        <v>1</v>
      </c>
      <c r="F3" s="38"/>
      <c r="G3" s="39"/>
    </row>
    <row r="4" spans="1:8">
      <c r="A4" s="6" t="s">
        <v>36</v>
      </c>
      <c r="B4" s="7"/>
      <c r="C4" s="4"/>
      <c r="D4" s="5" t="s">
        <v>2</v>
      </c>
      <c r="E4" s="5" t="s">
        <v>3</v>
      </c>
      <c r="F4" s="5" t="s">
        <v>4</v>
      </c>
      <c r="G4" s="5" t="s">
        <v>5</v>
      </c>
    </row>
    <row r="5" spans="1:8">
      <c r="A5" s="8" t="s">
        <v>23</v>
      </c>
      <c r="B5" s="7"/>
      <c r="C5" s="4"/>
      <c r="D5" s="5" t="s">
        <v>6</v>
      </c>
      <c r="E5" s="40" t="s">
        <v>21</v>
      </c>
      <c r="F5" s="41"/>
      <c r="G5" s="42"/>
    </row>
    <row r="6" spans="1:8">
      <c r="A6" s="9"/>
      <c r="B6" s="10"/>
      <c r="C6" s="4"/>
      <c r="D6" s="5" t="s">
        <v>7</v>
      </c>
      <c r="E6" s="5" t="s">
        <v>8</v>
      </c>
      <c r="F6" s="5" t="s">
        <v>9</v>
      </c>
      <c r="G6" s="11" t="s">
        <v>10</v>
      </c>
    </row>
    <row r="7" spans="1:8" ht="16.5" customHeight="1">
      <c r="A7" s="43" t="str">
        <f>"합계금액 : 일금"&amp;TEXT(E41,"[DBNum4]")&amp;"원정 (\ "&amp;TEXT(E41,"#,###")&amp;"원)"</f>
        <v>합계금액 : 일금이십칠만팔천팔백원정 (\ 278,800원)</v>
      </c>
      <c r="B7" s="44"/>
      <c r="C7" s="44"/>
      <c r="D7" s="44"/>
      <c r="E7" s="44"/>
      <c r="F7" s="44"/>
      <c r="G7" s="45"/>
    </row>
    <row r="8" spans="1:8" ht="16.5" customHeight="1">
      <c r="A8" s="46"/>
      <c r="B8" s="47"/>
      <c r="C8" s="47"/>
      <c r="D8" s="47"/>
      <c r="E8" s="47"/>
      <c r="F8" s="47"/>
      <c r="G8" s="48"/>
    </row>
    <row r="9" spans="1:8">
      <c r="A9" s="22" t="s">
        <v>20</v>
      </c>
      <c r="B9" s="22" t="s">
        <v>11</v>
      </c>
      <c r="C9" s="22" t="s">
        <v>12</v>
      </c>
      <c r="D9" s="22" t="s">
        <v>13</v>
      </c>
      <c r="E9" s="22" t="s">
        <v>14</v>
      </c>
      <c r="F9" s="49" t="s">
        <v>15</v>
      </c>
      <c r="G9" s="49"/>
      <c r="H9" s="18"/>
    </row>
    <row r="10" spans="1:8">
      <c r="A10" s="23" t="s">
        <v>24</v>
      </c>
      <c r="B10" s="23" t="s">
        <v>25</v>
      </c>
      <c r="C10" s="27">
        <v>2</v>
      </c>
      <c r="D10" s="27">
        <v>58000</v>
      </c>
      <c r="E10" s="26">
        <f>C10*D10</f>
        <v>116000</v>
      </c>
      <c r="F10" s="30"/>
      <c r="G10" s="31"/>
    </row>
    <row r="11" spans="1:8">
      <c r="A11" s="23" t="s">
        <v>26</v>
      </c>
      <c r="B11" s="23" t="s">
        <v>31</v>
      </c>
      <c r="C11" s="27">
        <v>2</v>
      </c>
      <c r="D11" s="27">
        <v>5400</v>
      </c>
      <c r="E11" s="12">
        <f t="shared" ref="E11:E40" si="0">C11*D11</f>
        <v>10800</v>
      </c>
      <c r="F11" s="30"/>
      <c r="G11" s="31"/>
    </row>
    <row r="12" spans="1:8">
      <c r="A12" s="23" t="s">
        <v>27</v>
      </c>
      <c r="B12" s="23" t="s">
        <v>32</v>
      </c>
      <c r="C12" s="27">
        <v>2</v>
      </c>
      <c r="D12" s="27">
        <v>7000</v>
      </c>
      <c r="E12" s="12">
        <f t="shared" si="0"/>
        <v>14000</v>
      </c>
      <c r="F12" s="30"/>
      <c r="G12" s="31"/>
    </row>
    <row r="13" spans="1:8">
      <c r="A13" s="23" t="s">
        <v>28</v>
      </c>
      <c r="B13" s="23" t="s">
        <v>33</v>
      </c>
      <c r="C13" s="27">
        <v>2</v>
      </c>
      <c r="D13" s="27">
        <v>39000</v>
      </c>
      <c r="E13" s="12">
        <f t="shared" si="0"/>
        <v>78000</v>
      </c>
      <c r="F13" s="30"/>
      <c r="G13" s="31"/>
    </row>
    <row r="14" spans="1:8">
      <c r="A14" s="23" t="s">
        <v>29</v>
      </c>
      <c r="B14" s="23" t="s">
        <v>34</v>
      </c>
      <c r="C14" s="27">
        <v>2</v>
      </c>
      <c r="D14" s="27">
        <v>17000</v>
      </c>
      <c r="E14" s="12">
        <f t="shared" si="0"/>
        <v>34000</v>
      </c>
      <c r="F14" s="30"/>
      <c r="G14" s="31"/>
      <c r="H14" s="13"/>
    </row>
    <row r="15" spans="1:8">
      <c r="A15" s="23" t="s">
        <v>30</v>
      </c>
      <c r="B15" s="23" t="s">
        <v>35</v>
      </c>
      <c r="C15" s="27">
        <v>2</v>
      </c>
      <c r="D15" s="27">
        <v>13000</v>
      </c>
      <c r="E15" s="12">
        <f t="shared" si="0"/>
        <v>26000</v>
      </c>
      <c r="F15" s="30"/>
      <c r="G15" s="31"/>
      <c r="H15" s="13"/>
    </row>
    <row r="16" spans="1:8">
      <c r="A16" s="23"/>
      <c r="B16" s="23"/>
      <c r="C16" s="27"/>
      <c r="D16" s="27"/>
      <c r="E16" s="12">
        <f t="shared" si="0"/>
        <v>0</v>
      </c>
      <c r="F16" s="30"/>
      <c r="G16" s="31"/>
      <c r="H16" s="13"/>
    </row>
    <row r="17" spans="1:11">
      <c r="A17" s="23"/>
      <c r="B17" s="23"/>
      <c r="C17" s="25"/>
      <c r="D17" s="24"/>
      <c r="E17" s="12">
        <f t="shared" si="0"/>
        <v>0</v>
      </c>
      <c r="F17" s="30"/>
      <c r="G17" s="31"/>
      <c r="H17" s="13"/>
    </row>
    <row r="18" spans="1:11">
      <c r="A18" s="23"/>
      <c r="B18" s="23"/>
      <c r="C18" s="25"/>
      <c r="D18" s="24"/>
      <c r="E18" s="12">
        <f t="shared" si="0"/>
        <v>0</v>
      </c>
      <c r="F18" s="30"/>
      <c r="G18" s="31"/>
      <c r="H18" s="20"/>
    </row>
    <row r="19" spans="1:11">
      <c r="A19" s="23"/>
      <c r="B19" s="23"/>
      <c r="C19" s="25"/>
      <c r="D19" s="24"/>
      <c r="E19" s="12">
        <f t="shared" si="0"/>
        <v>0</v>
      </c>
      <c r="F19" s="30"/>
      <c r="G19" s="31"/>
      <c r="H19" s="20"/>
    </row>
    <row r="20" spans="1:11">
      <c r="A20" s="23"/>
      <c r="B20" s="23"/>
      <c r="C20" s="25"/>
      <c r="D20" s="24"/>
      <c r="E20" s="12">
        <f t="shared" si="0"/>
        <v>0</v>
      </c>
      <c r="F20" s="30"/>
      <c r="G20" s="31"/>
      <c r="H20" s="20"/>
    </row>
    <row r="21" spans="1:11">
      <c r="A21" s="23"/>
      <c r="B21" s="23"/>
      <c r="C21" s="25"/>
      <c r="D21" s="24"/>
      <c r="E21" s="12">
        <f t="shared" si="0"/>
        <v>0</v>
      </c>
      <c r="F21" s="30"/>
      <c r="G21" s="31"/>
      <c r="H21" s="21"/>
    </row>
    <row r="22" spans="1:11">
      <c r="A22" s="23"/>
      <c r="B22" s="23"/>
      <c r="C22" s="25"/>
      <c r="D22" s="24"/>
      <c r="E22" s="12">
        <f t="shared" si="0"/>
        <v>0</v>
      </c>
      <c r="F22" s="30"/>
      <c r="G22" s="31"/>
      <c r="H22" s="19"/>
      <c r="K22" t="s">
        <v>19</v>
      </c>
    </row>
    <row r="23" spans="1:11">
      <c r="A23" s="23"/>
      <c r="B23" s="23"/>
      <c r="C23" s="25"/>
      <c r="D23" s="24"/>
      <c r="E23" s="12">
        <f t="shared" si="0"/>
        <v>0</v>
      </c>
      <c r="F23" s="30"/>
      <c r="G23" s="31"/>
      <c r="H23" s="20"/>
    </row>
    <row r="24" spans="1:11">
      <c r="A24" s="23"/>
      <c r="B24" s="23"/>
      <c r="C24" s="25"/>
      <c r="D24" s="24"/>
      <c r="E24" s="12">
        <f t="shared" si="0"/>
        <v>0</v>
      </c>
      <c r="F24" s="30"/>
      <c r="G24" s="31"/>
      <c r="H24" s="19"/>
      <c r="J24" t="s">
        <v>17</v>
      </c>
    </row>
    <row r="25" spans="1:11" ht="16.5" customHeight="1">
      <c r="A25" s="23"/>
      <c r="B25" s="23"/>
      <c r="C25" s="25"/>
      <c r="D25" s="24"/>
      <c r="E25" s="12">
        <f t="shared" si="0"/>
        <v>0</v>
      </c>
      <c r="F25" s="30"/>
      <c r="G25" s="31"/>
      <c r="H25" s="21"/>
    </row>
    <row r="26" spans="1:11">
      <c r="A26" s="23"/>
      <c r="B26" s="23"/>
      <c r="C26" s="25"/>
      <c r="D26" s="24"/>
      <c r="E26" s="12">
        <f t="shared" si="0"/>
        <v>0</v>
      </c>
      <c r="F26" s="30"/>
      <c r="G26" s="31"/>
      <c r="H26" s="13"/>
    </row>
    <row r="27" spans="1:11">
      <c r="A27" s="23"/>
      <c r="B27" s="23"/>
      <c r="C27" s="25"/>
      <c r="D27" s="24"/>
      <c r="E27" s="12">
        <f t="shared" si="0"/>
        <v>0</v>
      </c>
      <c r="F27" s="30"/>
      <c r="G27" s="31"/>
    </row>
    <row r="28" spans="1:11">
      <c r="A28" s="23"/>
      <c r="B28" s="23"/>
      <c r="C28" s="25"/>
      <c r="D28" s="24"/>
      <c r="E28" s="12">
        <f t="shared" si="0"/>
        <v>0</v>
      </c>
      <c r="F28" s="30"/>
      <c r="G28" s="31"/>
    </row>
    <row r="29" spans="1:11">
      <c r="A29" s="23"/>
      <c r="B29" s="23"/>
      <c r="C29" s="25"/>
      <c r="D29" s="24"/>
      <c r="E29" s="12">
        <f t="shared" si="0"/>
        <v>0</v>
      </c>
      <c r="F29" s="30"/>
      <c r="G29" s="31"/>
      <c r="J29" t="s">
        <v>17</v>
      </c>
    </row>
    <row r="30" spans="1:11">
      <c r="A30" s="23"/>
      <c r="B30" s="23"/>
      <c r="C30" s="25"/>
      <c r="D30" s="24"/>
      <c r="E30" s="12">
        <f t="shared" si="0"/>
        <v>0</v>
      </c>
      <c r="F30" s="30"/>
      <c r="G30" s="31"/>
    </row>
    <row r="31" spans="1:11">
      <c r="A31" s="23"/>
      <c r="B31" s="23"/>
      <c r="C31" s="25"/>
      <c r="D31" s="24"/>
      <c r="E31" s="12">
        <f t="shared" si="0"/>
        <v>0</v>
      </c>
      <c r="F31" s="30"/>
      <c r="G31" s="31"/>
    </row>
    <row r="32" spans="1:11">
      <c r="A32" s="23"/>
      <c r="B32" s="23"/>
      <c r="C32" s="25"/>
      <c r="D32" s="24"/>
      <c r="E32" s="12">
        <f t="shared" si="0"/>
        <v>0</v>
      </c>
      <c r="F32" s="30"/>
      <c r="G32" s="31"/>
      <c r="K32" t="s">
        <v>18</v>
      </c>
    </row>
    <row r="33" spans="1:8">
      <c r="A33" s="23"/>
      <c r="B33" s="23"/>
      <c r="C33" s="25"/>
      <c r="D33" s="24"/>
      <c r="E33" s="12">
        <f t="shared" si="0"/>
        <v>0</v>
      </c>
      <c r="F33" s="30"/>
      <c r="G33" s="31"/>
      <c r="H33" s="13"/>
    </row>
    <row r="34" spans="1:8">
      <c r="A34" s="23"/>
      <c r="B34" s="23"/>
      <c r="C34" s="25"/>
      <c r="D34" s="24"/>
      <c r="E34" s="12">
        <f t="shared" si="0"/>
        <v>0</v>
      </c>
      <c r="F34" s="30"/>
      <c r="G34" s="31"/>
    </row>
    <row r="35" spans="1:8">
      <c r="A35" s="23"/>
      <c r="B35" s="23"/>
      <c r="C35" s="25"/>
      <c r="D35" s="24"/>
      <c r="E35" s="12">
        <f>C35*D35</f>
        <v>0</v>
      </c>
      <c r="F35" s="30"/>
      <c r="G35" s="31"/>
    </row>
    <row r="36" spans="1:8">
      <c r="A36" s="23"/>
      <c r="B36" s="23"/>
      <c r="C36" s="25"/>
      <c r="D36" s="24"/>
      <c r="E36" s="12">
        <f t="shared" si="0"/>
        <v>0</v>
      </c>
      <c r="F36" s="30"/>
      <c r="G36" s="31"/>
    </row>
    <row r="37" spans="1:8">
      <c r="A37" s="23"/>
      <c r="B37" s="23"/>
      <c r="C37" s="25"/>
      <c r="D37" s="24"/>
      <c r="E37" s="12">
        <f t="shared" si="0"/>
        <v>0</v>
      </c>
      <c r="F37" s="30"/>
      <c r="G37" s="31"/>
    </row>
    <row r="38" spans="1:8">
      <c r="A38" s="23"/>
      <c r="B38" s="23"/>
      <c r="C38" s="25"/>
      <c r="D38" s="24"/>
      <c r="E38" s="12">
        <f t="shared" si="0"/>
        <v>0</v>
      </c>
      <c r="F38" s="30"/>
      <c r="G38" s="31"/>
    </row>
    <row r="39" spans="1:8">
      <c r="A39" s="23"/>
      <c r="B39" s="23"/>
      <c r="C39" s="25"/>
      <c r="D39" s="24"/>
      <c r="E39" s="12">
        <f t="shared" si="0"/>
        <v>0</v>
      </c>
      <c r="F39" s="30"/>
      <c r="G39" s="31"/>
    </row>
    <row r="40" spans="1:8">
      <c r="A40" s="23"/>
      <c r="B40" s="23"/>
      <c r="C40" s="25"/>
      <c r="D40" s="24"/>
      <c r="E40" s="12">
        <f t="shared" si="0"/>
        <v>0</v>
      </c>
      <c r="F40" s="30"/>
      <c r="G40" s="31"/>
    </row>
    <row r="41" spans="1:8">
      <c r="A41" s="14" t="s">
        <v>16</v>
      </c>
      <c r="B41" s="5"/>
      <c r="C41" s="15"/>
      <c r="D41" s="16"/>
      <c r="E41" s="17">
        <f>SUM(E10:E40)</f>
        <v>278800</v>
      </c>
      <c r="F41" s="28"/>
      <c r="G41" s="29"/>
    </row>
  </sheetData>
  <mergeCells count="38">
    <mergeCell ref="F15:G15"/>
    <mergeCell ref="A1:G1"/>
    <mergeCell ref="F2:G2"/>
    <mergeCell ref="E3:G3"/>
    <mergeCell ref="E5:G5"/>
    <mergeCell ref="A7:G8"/>
    <mergeCell ref="F9:G9"/>
    <mergeCell ref="F10:G10"/>
    <mergeCell ref="F11:G11"/>
    <mergeCell ref="F12:G12"/>
    <mergeCell ref="F13:G13"/>
    <mergeCell ref="F14:G14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41:G41"/>
    <mergeCell ref="F28:G28"/>
    <mergeCell ref="F29:G29"/>
    <mergeCell ref="F30:G30"/>
    <mergeCell ref="F31:G31"/>
    <mergeCell ref="F32:G32"/>
    <mergeCell ref="F33:G33"/>
    <mergeCell ref="F34:G34"/>
    <mergeCell ref="F36:G36"/>
    <mergeCell ref="F37:G37"/>
    <mergeCell ref="F38:G38"/>
    <mergeCell ref="F39:G39"/>
    <mergeCell ref="F40:G40"/>
    <mergeCell ref="F35:G3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성환 김</cp:lastModifiedBy>
  <cp:lastPrinted>2024-10-04T08:23:39Z</cp:lastPrinted>
  <dcterms:created xsi:type="dcterms:W3CDTF">2023-12-22T04:26:10Z</dcterms:created>
  <dcterms:modified xsi:type="dcterms:W3CDTF">2025-12-23T06:52:16Z</dcterms:modified>
</cp:coreProperties>
</file>