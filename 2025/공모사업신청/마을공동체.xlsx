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JS그룹\마을공동체\2025\"/>
    </mc:Choice>
  </mc:AlternateContent>
  <xr:revisionPtr revIDLastSave="0" documentId="13_ncr:1_{7ED830A0-8E11-4CDF-A95C-BBE9CA8C5A1D}" xr6:coauthVersionLast="47" xr6:coauthVersionMax="47" xr10:uidLastSave="{00000000-0000-0000-0000-000000000000}"/>
  <bookViews>
    <workbookView xWindow="-25710" yWindow="-110" windowWidth="25820" windowHeight="13900" activeTab="1" xr2:uid="{8640CB6B-22D4-46C3-A622-90BFCD7320F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" i="2" l="1"/>
  <c r="C40" i="2"/>
  <c r="M21" i="2"/>
  <c r="G10" i="2"/>
  <c r="E30" i="2"/>
  <c r="E19" i="2"/>
  <c r="E14" i="2"/>
  <c r="H3" i="1"/>
  <c r="H4" i="1"/>
  <c r="H5" i="1"/>
  <c r="H6" i="1"/>
  <c r="H7" i="1"/>
  <c r="H8" i="1"/>
  <c r="H9" i="1"/>
  <c r="H10" i="1"/>
  <c r="H11" i="1"/>
  <c r="H12" i="1"/>
  <c r="H13" i="1"/>
  <c r="H2" i="1"/>
  <c r="F22" i="1"/>
  <c r="F24" i="1" s="1"/>
  <c r="Q3" i="1"/>
  <c r="Q4" i="1"/>
  <c r="Q5" i="1"/>
  <c r="Q6" i="1"/>
  <c r="Q7" i="1"/>
  <c r="Q8" i="1"/>
  <c r="Q9" i="1"/>
  <c r="Q10" i="1"/>
  <c r="Q2" i="1"/>
  <c r="N22" i="1"/>
  <c r="N24" i="1" s="1"/>
  <c r="L3" i="1"/>
  <c r="L2" i="1"/>
  <c r="D3" i="1"/>
  <c r="D2" i="1"/>
  <c r="D24" i="1" s="1"/>
  <c r="H15" i="1" l="1"/>
  <c r="L24" i="1"/>
  <c r="P24" i="1"/>
  <c r="S24" i="1"/>
</calcChain>
</file>

<file path=xl/sharedStrings.xml><?xml version="1.0" encoding="utf-8"?>
<sst xmlns="http://schemas.openxmlformats.org/spreadsheetml/2006/main" count="81" uniqueCount="58">
  <si>
    <t>밀가루 5kg</t>
  </si>
  <si>
    <t xml:space="preserve"> 17,000원 × 2 = 34,000원</t>
  </si>
  <si>
    <t>소시지 2팩</t>
  </si>
  <si>
    <t xml:space="preserve"> 12,000원 × 2 = 24,000원</t>
  </si>
  <si>
    <t>베이컨 2팩</t>
  </si>
  <si>
    <t xml:space="preserve"> 7,000원 × 2 = 14,000원</t>
  </si>
  <si>
    <t>양파 500g</t>
  </si>
  <si>
    <t xml:space="preserve"> 5,000원</t>
  </si>
  <si>
    <t>라구소스 2통</t>
  </si>
  <si>
    <t xml:space="preserve"> 8,000원 × 2 = 16,000원</t>
  </si>
  <si>
    <t>슈레드 치즈 1kg</t>
  </si>
  <si>
    <t xml:space="preserve"> 13,000원 × 2 = 26,000원</t>
  </si>
  <si>
    <t>올리브 1kg</t>
  </si>
  <si>
    <t xml:space="preserve"> 10,000원 × 2 = 20,000원</t>
  </si>
  <si>
    <t>올리브 오일 1L</t>
  </si>
  <si>
    <t xml:space="preserve"> 16,000원 × 2 = 32,000원</t>
  </si>
  <si>
    <t>비닐장갑 1팩</t>
  </si>
  <si>
    <t>안전칼 1팩</t>
  </si>
  <si>
    <t xml:space="preserve"> 10,000원</t>
  </si>
  <si>
    <t>바질/오레가노/파슬리 3종</t>
  </si>
  <si>
    <t>기타 추가 재료비</t>
  </si>
  <si>
    <t xml:space="preserve"> 64,000원</t>
  </si>
  <si>
    <t>총합</t>
  </si>
  <si>
    <t>255,000원</t>
    <phoneticPr fontId="1" type="noConversion"/>
  </si>
  <si>
    <t>프로그램 안내책자</t>
  </si>
  <si>
    <t>진미채, 멸치, 실멸치, 견과류 등</t>
  </si>
  <si>
    <t xml:space="preserve"> 10,000원 × 15인분 = 150,000원</t>
  </si>
  <si>
    <t>양념류(고추장, 물엿, 설탕 등)</t>
  </si>
  <si>
    <t xml:space="preserve"> 6,000원 × 15인분 = 90,000원</t>
  </si>
  <si>
    <t xml:space="preserve"> 115,000원</t>
  </si>
  <si>
    <t xml:space="preserve"> 355,000원</t>
  </si>
  <si>
    <t>고구마다이스 1kg</t>
  </si>
  <si>
    <t>크림치즈 1kg</t>
  </si>
  <si>
    <t xml:space="preserve"> 18,000원 × 2 = 36,000원</t>
  </si>
  <si>
    <t>기타 추가 비용</t>
  </si>
  <si>
    <t xml:space="preserve"> 275,000원</t>
  </si>
  <si>
    <t>디자인 용지</t>
  </si>
  <si>
    <t>스티커지</t>
  </si>
  <si>
    <t>색지/포스터지</t>
  </si>
  <si>
    <t xml:space="preserve"> 3,000원</t>
  </si>
  <si>
    <t>스탬프 및 잉크패드</t>
  </si>
  <si>
    <t>반짝이풀/글리터</t>
  </si>
  <si>
    <t xml:space="preserve"> 4,000원</t>
  </si>
  <si>
    <t>가위/커터칼</t>
  </si>
  <si>
    <t>양면테이프/풀</t>
  </si>
  <si>
    <t xml:space="preserve"> 260,000원</t>
  </si>
  <si>
    <t xml:space="preserve"> 305,000원</t>
  </si>
  <si>
    <t>스티커 (크리스마스 테마)</t>
    <phoneticPr fontId="1" type="noConversion"/>
  </si>
  <si>
    <t>리본 및 끈 (장식용)</t>
    <phoneticPr fontId="1" type="noConversion"/>
  </si>
  <si>
    <t xml:space="preserve"> 122,000원</t>
    <phoneticPr fontId="1" type="noConversion"/>
  </si>
  <si>
    <t>훈련도구</t>
    <phoneticPr fontId="1" type="noConversion"/>
  </si>
  <si>
    <t xml:space="preserve"> 5,000원 × 15개 = 75,000원</t>
    <phoneticPr fontId="1" type="noConversion"/>
  </si>
  <si>
    <t xml:space="preserve"> 2,000원 × 15개 = 30,000원</t>
    <phoneticPr fontId="1" type="noConversion"/>
  </si>
  <si>
    <t xml:space="preserve"> 105,000원/회 × 2회 = 210,000원</t>
    <phoneticPr fontId="1" type="noConversion"/>
  </si>
  <si>
    <t>밀가루 5kg</t>
    <phoneticPr fontId="1" type="noConversion"/>
  </si>
  <si>
    <t>(1) 도안 및 디자인 재료</t>
    <phoneticPr fontId="1" type="noConversion"/>
  </si>
  <si>
    <t>(2) 재료 및 장식품</t>
    <phoneticPr fontId="1" type="noConversion"/>
  </si>
  <si>
    <t>(3) 도구 및 소모품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</si>
</sst>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641350</xdr:colOff>
      <xdr:row>16</xdr:row>
      <xdr:rowOff>19050</xdr:rowOff>
    </xdr:from>
    <xdr:to>
      <xdr:col>7</xdr:col>
      <xdr:colOff>2016125</xdr:colOff>
      <xdr:row>19</xdr:row>
      <xdr:rowOff>34925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40BCF2-EC34-AE66-D742-AB945209C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7700" y="3371850"/>
          <a:ext cx="4305300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3427-4BB9-472B-9D80-F099120B0B82}">
  <dimension ref="B2:S24"/>
  <sheetViews>
    <sheetView workbookViewId="0">
      <selection activeCell="J15" sqref="J15"/>
    </sheetView>
  </sheetViews>
  <sheetFormatPr defaultRowHeight="16.5" x14ac:dyDescent="0.3"/>
  <sheetData>
    <row r="2" spans="2:17" x14ac:dyDescent="0.3">
      <c r="B2">
        <v>5000</v>
      </c>
      <c r="C2">
        <v>15</v>
      </c>
      <c r="D2">
        <f>B2*C2</f>
        <v>75000</v>
      </c>
      <c r="F2">
        <v>17000</v>
      </c>
      <c r="G2">
        <v>2</v>
      </c>
      <c r="H2">
        <f>F2*G2</f>
        <v>34000</v>
      </c>
      <c r="J2">
        <v>10000</v>
      </c>
      <c r="K2">
        <v>15</v>
      </c>
      <c r="L2">
        <f>J2*K2</f>
        <v>150000</v>
      </c>
      <c r="N2">
        <v>17000</v>
      </c>
      <c r="P2">
        <v>5000</v>
      </c>
      <c r="Q2">
        <f>P2*2</f>
        <v>10000</v>
      </c>
    </row>
    <row r="3" spans="2:17" x14ac:dyDescent="0.3">
      <c r="B3">
        <v>2000</v>
      </c>
      <c r="C3">
        <v>15</v>
      </c>
      <c r="D3">
        <f>B3*C3</f>
        <v>30000</v>
      </c>
      <c r="F3">
        <v>12000</v>
      </c>
      <c r="G3">
        <v>2</v>
      </c>
      <c r="H3">
        <f t="shared" ref="H3:H13" si="0">F3*G3</f>
        <v>24000</v>
      </c>
      <c r="J3">
        <v>6000</v>
      </c>
      <c r="K3">
        <v>15</v>
      </c>
      <c r="L3">
        <f>J3*K3</f>
        <v>90000</v>
      </c>
      <c r="N3">
        <v>10000</v>
      </c>
      <c r="P3">
        <v>10000</v>
      </c>
      <c r="Q3">
        <f t="shared" ref="Q3:Q10" si="1">P3*2</f>
        <v>20000</v>
      </c>
    </row>
    <row r="4" spans="2:17" x14ac:dyDescent="0.3">
      <c r="F4">
        <v>7000</v>
      </c>
      <c r="G4">
        <v>2</v>
      </c>
      <c r="H4">
        <f t="shared" si="0"/>
        <v>14000</v>
      </c>
      <c r="N4">
        <v>13000</v>
      </c>
      <c r="P4">
        <v>3000</v>
      </c>
      <c r="Q4">
        <f t="shared" si="1"/>
        <v>6000</v>
      </c>
    </row>
    <row r="5" spans="2:17" x14ac:dyDescent="0.3">
      <c r="F5">
        <v>5000</v>
      </c>
      <c r="G5">
        <v>1</v>
      </c>
      <c r="H5">
        <f t="shared" si="0"/>
        <v>5000</v>
      </c>
      <c r="N5">
        <v>18000</v>
      </c>
      <c r="P5">
        <v>10000</v>
      </c>
      <c r="Q5">
        <f t="shared" si="1"/>
        <v>20000</v>
      </c>
    </row>
    <row r="6" spans="2:17" x14ac:dyDescent="0.3">
      <c r="F6">
        <v>8000</v>
      </c>
      <c r="G6">
        <v>2</v>
      </c>
      <c r="H6">
        <f t="shared" si="0"/>
        <v>16000</v>
      </c>
      <c r="N6">
        <v>16000</v>
      </c>
      <c r="P6">
        <v>5000</v>
      </c>
      <c r="Q6">
        <f t="shared" si="1"/>
        <v>10000</v>
      </c>
    </row>
    <row r="7" spans="2:17" x14ac:dyDescent="0.3">
      <c r="F7">
        <v>13000</v>
      </c>
      <c r="G7">
        <v>2</v>
      </c>
      <c r="H7">
        <f t="shared" si="0"/>
        <v>26000</v>
      </c>
      <c r="N7">
        <v>5000</v>
      </c>
      <c r="P7">
        <v>3000</v>
      </c>
      <c r="Q7">
        <f t="shared" si="1"/>
        <v>6000</v>
      </c>
    </row>
    <row r="8" spans="2:17" x14ac:dyDescent="0.3">
      <c r="F8">
        <v>10000</v>
      </c>
      <c r="G8">
        <v>2</v>
      </c>
      <c r="H8">
        <f t="shared" si="0"/>
        <v>20000</v>
      </c>
      <c r="P8">
        <v>4000</v>
      </c>
      <c r="Q8">
        <f t="shared" si="1"/>
        <v>8000</v>
      </c>
    </row>
    <row r="9" spans="2:17" x14ac:dyDescent="0.3">
      <c r="F9">
        <v>16000</v>
      </c>
      <c r="G9">
        <v>2</v>
      </c>
      <c r="H9">
        <f t="shared" si="0"/>
        <v>32000</v>
      </c>
      <c r="P9">
        <v>5000</v>
      </c>
      <c r="Q9">
        <f t="shared" si="1"/>
        <v>10000</v>
      </c>
    </row>
    <row r="10" spans="2:17" x14ac:dyDescent="0.3">
      <c r="F10">
        <v>5000</v>
      </c>
      <c r="G10">
        <v>1</v>
      </c>
      <c r="H10">
        <f t="shared" si="0"/>
        <v>5000</v>
      </c>
      <c r="P10">
        <v>3000</v>
      </c>
      <c r="Q10">
        <f t="shared" si="1"/>
        <v>6000</v>
      </c>
    </row>
    <row r="11" spans="2:17" x14ac:dyDescent="0.3">
      <c r="F11">
        <v>10000</v>
      </c>
      <c r="G11">
        <v>1</v>
      </c>
      <c r="H11">
        <f t="shared" si="0"/>
        <v>10000</v>
      </c>
    </row>
    <row r="12" spans="2:17" x14ac:dyDescent="0.3">
      <c r="F12">
        <v>5000</v>
      </c>
      <c r="G12">
        <v>1</v>
      </c>
      <c r="H12">
        <f t="shared" si="0"/>
        <v>5000</v>
      </c>
    </row>
    <row r="13" spans="2:17" x14ac:dyDescent="0.3">
      <c r="F13">
        <v>64000</v>
      </c>
      <c r="G13">
        <v>1</v>
      </c>
      <c r="H13">
        <f t="shared" si="0"/>
        <v>64000</v>
      </c>
    </row>
    <row r="15" spans="2:17" x14ac:dyDescent="0.3">
      <c r="H15">
        <f>SUM(H2:H13)</f>
        <v>255000</v>
      </c>
    </row>
    <row r="22" spans="4:19" x14ac:dyDescent="0.3">
      <c r="F22">
        <f>SUM(F2:F13)</f>
        <v>172000</v>
      </c>
      <c r="N22">
        <f>SUM(N2:N7)</f>
        <v>79000</v>
      </c>
    </row>
    <row r="24" spans="4:19" x14ac:dyDescent="0.3">
      <c r="D24">
        <f>(D2+D3)*2</f>
        <v>210000</v>
      </c>
      <c r="F24">
        <f>F22*2</f>
        <v>344000</v>
      </c>
      <c r="L24">
        <f>L2+L3</f>
        <v>240000</v>
      </c>
      <c r="N24">
        <f>N22*2</f>
        <v>158000</v>
      </c>
      <c r="P24">
        <f>SUM(Q2:Q10)</f>
        <v>96000</v>
      </c>
      <c r="S24">
        <f>SUM(D24:P24)</f>
        <v>1048000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19DC-7CD2-443E-9D93-B4101914BB77}">
  <dimension ref="B2:M40"/>
  <sheetViews>
    <sheetView tabSelected="1" topLeftCell="B22" workbookViewId="0">
      <selection activeCell="H40" sqref="H40"/>
    </sheetView>
  </sheetViews>
  <sheetFormatPr defaultRowHeight="16.5" x14ac:dyDescent="0.3"/>
  <cols>
    <col min="1" max="1" width="9" style="1"/>
    <col min="2" max="2" width="24.875" style="1" bestFit="1" customWidth="1"/>
    <col min="3" max="3" width="31.5" style="1" bestFit="1" customWidth="1"/>
    <col min="4" max="6" width="9" style="1"/>
    <col min="7" max="7" width="29.5" style="1" bestFit="1" customWidth="1"/>
    <col min="8" max="8" width="30.625" style="1" bestFit="1" customWidth="1"/>
    <col min="9" max="9" width="9" style="1"/>
    <col min="10" max="10" width="23.625" style="1" customWidth="1"/>
    <col min="11" max="11" width="10.375" style="1" bestFit="1" customWidth="1"/>
    <col min="12" max="16384" width="9" style="1"/>
  </cols>
  <sheetData>
    <row r="2" spans="2:13" x14ac:dyDescent="0.3">
      <c r="B2" s="2" t="s">
        <v>54</v>
      </c>
      <c r="C2" s="2" t="s">
        <v>1</v>
      </c>
      <c r="E2" s="1">
        <v>34000</v>
      </c>
      <c r="G2" s="2" t="s">
        <v>25</v>
      </c>
      <c r="H2" s="2" t="s">
        <v>26</v>
      </c>
    </row>
    <row r="3" spans="2:13" x14ac:dyDescent="0.3">
      <c r="B3" s="2" t="s">
        <v>2</v>
      </c>
      <c r="C3" s="2" t="s">
        <v>3</v>
      </c>
      <c r="E3" s="1">
        <v>24000</v>
      </c>
      <c r="G3" s="2" t="s">
        <v>27</v>
      </c>
      <c r="H3" s="2" t="s">
        <v>28</v>
      </c>
    </row>
    <row r="4" spans="2:13" x14ac:dyDescent="0.3">
      <c r="B4" s="2" t="s">
        <v>4</v>
      </c>
      <c r="C4" s="2" t="s">
        <v>5</v>
      </c>
      <c r="E4" s="1">
        <v>14000</v>
      </c>
      <c r="G4" s="2" t="s">
        <v>20</v>
      </c>
      <c r="H4" s="2" t="s">
        <v>29</v>
      </c>
      <c r="J4" s="1" t="s">
        <v>55</v>
      </c>
    </row>
    <row r="5" spans="2:13" x14ac:dyDescent="0.3">
      <c r="B5" s="2" t="s">
        <v>6</v>
      </c>
      <c r="C5" s="2" t="s">
        <v>7</v>
      </c>
      <c r="E5" s="1">
        <v>5000</v>
      </c>
      <c r="G5" s="2" t="s">
        <v>22</v>
      </c>
      <c r="H5" s="2" t="s">
        <v>30</v>
      </c>
      <c r="J5" s="2" t="s">
        <v>36</v>
      </c>
      <c r="K5" s="2" t="s">
        <v>7</v>
      </c>
      <c r="M5" s="1">
        <v>5000</v>
      </c>
    </row>
    <row r="6" spans="2:13" x14ac:dyDescent="0.3">
      <c r="B6" s="2" t="s">
        <v>8</v>
      </c>
      <c r="C6" s="2" t="s">
        <v>9</v>
      </c>
      <c r="E6" s="1">
        <v>16000</v>
      </c>
      <c r="J6" s="2" t="s">
        <v>37</v>
      </c>
      <c r="K6" s="2" t="s">
        <v>18</v>
      </c>
      <c r="M6" s="1">
        <v>10000</v>
      </c>
    </row>
    <row r="7" spans="2:13" x14ac:dyDescent="0.3">
      <c r="B7" s="2" t="s">
        <v>10</v>
      </c>
      <c r="C7" s="2" t="s">
        <v>11</v>
      </c>
      <c r="E7" s="1">
        <v>26000</v>
      </c>
      <c r="G7" s="1">
        <v>150000</v>
      </c>
    </row>
    <row r="8" spans="2:13" x14ac:dyDescent="0.3">
      <c r="B8" s="2" t="s">
        <v>12</v>
      </c>
      <c r="C8" s="2" t="s">
        <v>13</v>
      </c>
      <c r="E8" s="1">
        <v>20000</v>
      </c>
      <c r="G8" s="1">
        <v>90000</v>
      </c>
    </row>
    <row r="9" spans="2:13" x14ac:dyDescent="0.3">
      <c r="B9" s="2" t="s">
        <v>14</v>
      </c>
      <c r="C9" s="2" t="s">
        <v>15</v>
      </c>
      <c r="E9" s="1">
        <v>32000</v>
      </c>
      <c r="G9" s="1">
        <v>115000</v>
      </c>
      <c r="J9" s="1" t="s">
        <v>56</v>
      </c>
    </row>
    <row r="10" spans="2:13" x14ac:dyDescent="0.3">
      <c r="B10" s="2" t="s">
        <v>16</v>
      </c>
      <c r="C10" s="2" t="s">
        <v>7</v>
      </c>
      <c r="E10" s="1">
        <v>5000</v>
      </c>
      <c r="G10" s="1">
        <f>SUM(G7:G9)</f>
        <v>355000</v>
      </c>
      <c r="J10" s="2" t="s">
        <v>38</v>
      </c>
      <c r="K10" s="2" t="s">
        <v>39</v>
      </c>
      <c r="M10" s="1">
        <v>3000</v>
      </c>
    </row>
    <row r="11" spans="2:13" x14ac:dyDescent="0.3">
      <c r="B11" s="2" t="s">
        <v>17</v>
      </c>
      <c r="C11" s="2" t="s">
        <v>18</v>
      </c>
      <c r="E11" s="1">
        <v>10000</v>
      </c>
      <c r="J11" s="2" t="s">
        <v>40</v>
      </c>
      <c r="K11" s="2" t="s">
        <v>18</v>
      </c>
      <c r="M11" s="1">
        <v>10000</v>
      </c>
    </row>
    <row r="12" spans="2:13" x14ac:dyDescent="0.3">
      <c r="B12" s="2" t="s">
        <v>19</v>
      </c>
      <c r="C12" s="2" t="s">
        <v>7</v>
      </c>
      <c r="E12" s="1">
        <v>5000</v>
      </c>
      <c r="J12" s="2" t="s">
        <v>47</v>
      </c>
      <c r="K12" s="2" t="s">
        <v>7</v>
      </c>
      <c r="M12" s="1">
        <v>5000</v>
      </c>
    </row>
    <row r="13" spans="2:13" x14ac:dyDescent="0.3">
      <c r="B13" s="2" t="s">
        <v>20</v>
      </c>
      <c r="C13" s="2" t="s">
        <v>21</v>
      </c>
      <c r="E13" s="1">
        <v>64000</v>
      </c>
      <c r="J13" s="2" t="s">
        <v>48</v>
      </c>
      <c r="K13" s="2" t="s">
        <v>39</v>
      </c>
      <c r="M13" s="1">
        <v>3000</v>
      </c>
    </row>
    <row r="14" spans="2:13" x14ac:dyDescent="0.3">
      <c r="B14" s="2" t="s">
        <v>22</v>
      </c>
      <c r="C14" s="2" t="s">
        <v>23</v>
      </c>
      <c r="E14" s="1">
        <f>SUM(E2:E13)</f>
        <v>255000</v>
      </c>
      <c r="J14" s="2" t="s">
        <v>41</v>
      </c>
      <c r="K14" s="2" t="s">
        <v>42</v>
      </c>
      <c r="M14" s="1">
        <v>4000</v>
      </c>
    </row>
    <row r="17" spans="2:13" x14ac:dyDescent="0.3">
      <c r="B17" s="2" t="s">
        <v>24</v>
      </c>
      <c r="C17" s="2" t="s">
        <v>51</v>
      </c>
      <c r="E17" s="1">
        <v>75000</v>
      </c>
      <c r="J17" s="1" t="s">
        <v>57</v>
      </c>
    </row>
    <row r="18" spans="2:13" x14ac:dyDescent="0.3">
      <c r="B18" s="2" t="s">
        <v>50</v>
      </c>
      <c r="C18" s="2" t="s">
        <v>52</v>
      </c>
      <c r="E18" s="1">
        <v>30000</v>
      </c>
      <c r="J18" s="2" t="s">
        <v>43</v>
      </c>
      <c r="K18" s="2" t="s">
        <v>7</v>
      </c>
      <c r="M18" s="1">
        <v>5000</v>
      </c>
    </row>
    <row r="19" spans="2:13" x14ac:dyDescent="0.3">
      <c r="B19" s="2" t="s">
        <v>22</v>
      </c>
      <c r="C19" s="2" t="s">
        <v>53</v>
      </c>
      <c r="E19" s="1">
        <f>(E17+E18)*2</f>
        <v>210000</v>
      </c>
      <c r="J19" s="2" t="s">
        <v>44</v>
      </c>
      <c r="K19" s="2" t="s">
        <v>39</v>
      </c>
      <c r="M19" s="1">
        <v>3000</v>
      </c>
    </row>
    <row r="20" spans="2:13" x14ac:dyDescent="0.3">
      <c r="J20" s="2" t="s">
        <v>20</v>
      </c>
      <c r="K20" s="2" t="s">
        <v>45</v>
      </c>
      <c r="M20" s="1">
        <v>257000</v>
      </c>
    </row>
    <row r="21" spans="2:13" x14ac:dyDescent="0.3">
      <c r="J21" s="2" t="s">
        <v>22</v>
      </c>
      <c r="K21" s="2" t="s">
        <v>46</v>
      </c>
      <c r="M21" s="1">
        <f>SUM(M5:M20)</f>
        <v>305000</v>
      </c>
    </row>
    <row r="23" spans="2:13" x14ac:dyDescent="0.3">
      <c r="B23" s="2" t="s">
        <v>0</v>
      </c>
      <c r="C23" s="2" t="s">
        <v>1</v>
      </c>
      <c r="E23" s="1">
        <v>34000</v>
      </c>
    </row>
    <row r="24" spans="2:13" x14ac:dyDescent="0.3">
      <c r="B24" s="2" t="s">
        <v>12</v>
      </c>
      <c r="C24" s="2" t="s">
        <v>13</v>
      </c>
      <c r="E24" s="1">
        <v>20000</v>
      </c>
    </row>
    <row r="25" spans="2:13" x14ac:dyDescent="0.3">
      <c r="B25" s="2" t="s">
        <v>31</v>
      </c>
      <c r="C25" s="2" t="s">
        <v>11</v>
      </c>
      <c r="E25" s="1">
        <v>26000</v>
      </c>
    </row>
    <row r="26" spans="2:13" x14ac:dyDescent="0.3">
      <c r="B26" s="2" t="s">
        <v>32</v>
      </c>
      <c r="C26" s="2" t="s">
        <v>33</v>
      </c>
      <c r="E26" s="1">
        <v>36000</v>
      </c>
    </row>
    <row r="27" spans="2:13" x14ac:dyDescent="0.3">
      <c r="B27" s="2" t="s">
        <v>14</v>
      </c>
      <c r="C27" s="2" t="s">
        <v>15</v>
      </c>
      <c r="E27" s="1">
        <v>32000</v>
      </c>
    </row>
    <row r="28" spans="2:13" x14ac:dyDescent="0.3">
      <c r="B28" s="2" t="s">
        <v>16</v>
      </c>
      <c r="C28" s="2" t="s">
        <v>7</v>
      </c>
      <c r="E28" s="1">
        <v>5000</v>
      </c>
    </row>
    <row r="29" spans="2:13" x14ac:dyDescent="0.3">
      <c r="B29" s="2" t="s">
        <v>34</v>
      </c>
      <c r="C29" s="2" t="s">
        <v>49</v>
      </c>
      <c r="E29" s="1">
        <v>122000</v>
      </c>
    </row>
    <row r="30" spans="2:13" x14ac:dyDescent="0.3">
      <c r="B30" s="2" t="s">
        <v>22</v>
      </c>
      <c r="C30" s="2" t="s">
        <v>35</v>
      </c>
      <c r="E30" s="1">
        <f>SUM(E23:E29)</f>
        <v>275000</v>
      </c>
    </row>
    <row r="34" spans="3:8" x14ac:dyDescent="0.3">
      <c r="C34" s="1">
        <v>255000</v>
      </c>
      <c r="H34" s="1">
        <v>210000</v>
      </c>
    </row>
    <row r="35" spans="3:8" x14ac:dyDescent="0.3">
      <c r="C35" s="1">
        <v>210000</v>
      </c>
      <c r="H35" s="1">
        <v>255000</v>
      </c>
    </row>
    <row r="36" spans="3:8" x14ac:dyDescent="0.3">
      <c r="C36" s="1">
        <v>275000</v>
      </c>
      <c r="H36" s="1">
        <v>355000</v>
      </c>
    </row>
    <row r="37" spans="3:8" x14ac:dyDescent="0.3">
      <c r="C37" s="1">
        <v>355000</v>
      </c>
      <c r="H37" s="1">
        <v>275000</v>
      </c>
    </row>
    <row r="38" spans="3:8" x14ac:dyDescent="0.3">
      <c r="C38" s="1">
        <v>305000</v>
      </c>
      <c r="H38" s="1">
        <v>305000</v>
      </c>
    </row>
    <row r="40" spans="3:8" x14ac:dyDescent="0.3">
      <c r="C40" s="1">
        <f>SUM(C34:C38)</f>
        <v>1400000</v>
      </c>
      <c r="H40" s="1">
        <f>SUM(H34:H38)</f>
        <v>1400000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성환 김</dc:creator>
  <cp:lastModifiedBy>성환 김</cp:lastModifiedBy>
  <dcterms:created xsi:type="dcterms:W3CDTF">2025-03-11T13:33:33Z</dcterms:created>
  <dcterms:modified xsi:type="dcterms:W3CDTF">2025-03-12T02:26:57Z</dcterms:modified>
</cp:coreProperties>
</file>