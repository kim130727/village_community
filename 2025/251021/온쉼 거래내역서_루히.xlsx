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/>
  <bookViews>
    <workbookView xWindow="0" yWindow="0" windowWidth="28800" windowHeight="12180"/>
  </bookViews>
  <sheets>
    <sheet name="견적서" sheetId="43" r:id="rId1"/>
  </sheets>
  <definedNames>
    <definedName name="_xlnm.Print_Area" localSheetId="0">견적서!$A$1:$G$41</definedName>
  </definedNames>
  <calcPr calcId="144525" concurrentManualCount="8"/>
</workbook>
</file>

<file path=xl/calcChain.xml><?xml version="1.0" encoding="utf-8"?>
<calcChain xmlns="http://schemas.openxmlformats.org/spreadsheetml/2006/main">
  <c r="E35" i="43" l="1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7" i="43"/>
  <c r="E38" i="43"/>
  <c r="E39" i="43"/>
  <c r="E40" i="43"/>
  <c r="E36" i="43" l="1"/>
  <c r="E34" i="43"/>
  <c r="E12" i="43"/>
  <c r="E11" i="43"/>
  <c r="E10" i="43"/>
  <c r="E41" i="43" l="1"/>
  <c r="A7" i="43" s="1"/>
</calcChain>
</file>

<file path=xl/sharedStrings.xml><?xml version="1.0" encoding="utf-8"?>
<sst xmlns="http://schemas.openxmlformats.org/spreadsheetml/2006/main" count="38" uniqueCount="37">
  <si>
    <t>등록번호</t>
  </si>
  <si>
    <t>305-86-12462</t>
    <phoneticPr fontId="4" type="noConversion"/>
  </si>
  <si>
    <t>상호</t>
  </si>
  <si>
    <t>㈜루히</t>
    <phoneticPr fontId="4" type="noConversion"/>
  </si>
  <si>
    <t>성명</t>
  </si>
  <si>
    <t>박형근</t>
    <phoneticPr fontId="4" type="noConversion"/>
  </si>
  <si>
    <t>주소</t>
  </si>
  <si>
    <t>업태</t>
  </si>
  <si>
    <t>도.소 매</t>
  </si>
  <si>
    <t>종목</t>
  </si>
  <si>
    <t>제과재료</t>
    <phoneticPr fontId="4" type="noConversion"/>
  </si>
  <si>
    <t>규  격</t>
  </si>
  <si>
    <t>수량</t>
  </si>
  <si>
    <t>단 가</t>
  </si>
  <si>
    <t>금     액</t>
  </si>
  <si>
    <t>비     고</t>
  </si>
  <si>
    <t>합      계</t>
  </si>
  <si>
    <t xml:space="preserve"> </t>
    <phoneticPr fontId="4" type="noConversion"/>
  </si>
  <si>
    <t xml:space="preserve">                                                                                                                                               </t>
    <phoneticPr fontId="4" type="noConversion"/>
  </si>
  <si>
    <t xml:space="preserve">                                             </t>
    <phoneticPr fontId="4" type="noConversion"/>
  </si>
  <si>
    <t>상   품   명</t>
    <phoneticPr fontId="4" type="noConversion"/>
  </si>
  <si>
    <t>대전광역시 대덕구오정동 9-18</t>
    <phoneticPr fontId="4" type="noConversion"/>
  </si>
  <si>
    <t>거래명세서</t>
    <phoneticPr fontId="4" type="noConversion"/>
  </si>
  <si>
    <t xml:space="preserve">   2025년 10 월 15 일</t>
    <phoneticPr fontId="4" type="noConversion"/>
  </si>
  <si>
    <t>베이커리 온쉼 귀중</t>
    <phoneticPr fontId="4" type="noConversion"/>
  </si>
  <si>
    <t>유기농강력제빵</t>
    <phoneticPr fontId="4" type="noConversion"/>
  </si>
  <si>
    <t>20kg</t>
    <phoneticPr fontId="4" type="noConversion"/>
  </si>
  <si>
    <t>건조이스트(레드)</t>
    <phoneticPr fontId="4" type="noConversion"/>
  </si>
  <si>
    <t>몰트엑기스</t>
    <phoneticPr fontId="4" type="noConversion"/>
  </si>
  <si>
    <t>올리브오일(대)</t>
    <phoneticPr fontId="4" type="noConversion"/>
  </si>
  <si>
    <t>크림치즈(라스카스)</t>
    <phoneticPr fontId="4" type="noConversion"/>
  </si>
  <si>
    <t>고구마다이스(소)</t>
    <phoneticPr fontId="4" type="noConversion"/>
  </si>
  <si>
    <t>500g</t>
    <phoneticPr fontId="4" type="noConversion"/>
  </si>
  <si>
    <t>1.25kg</t>
    <phoneticPr fontId="4" type="noConversion"/>
  </si>
  <si>
    <t>5L</t>
    <phoneticPr fontId="4" type="noConversion"/>
  </si>
  <si>
    <t>1.36kg</t>
    <phoneticPr fontId="4" type="noConversion"/>
  </si>
  <si>
    <t>3kg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</si>
</sst>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7" formatCode="#,##0_ 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22"/>
      <name val="궁서체"/>
      <family val="1"/>
      <charset val="129"/>
    </font>
    <font>
      <sz val="8"/>
      <name val="맑은 고딕"/>
      <family val="2"/>
      <charset val="129"/>
      <scheme val="minor"/>
    </font>
    <font>
      <b/>
      <u/>
      <sz val="20"/>
      <name val="궁서체"/>
      <family val="1"/>
      <charset val="129"/>
    </font>
    <font>
      <b/>
      <sz val="8"/>
      <name val="궁서체"/>
      <family val="1"/>
      <charset val="129"/>
    </font>
    <font>
      <b/>
      <sz val="11"/>
      <name val="궁서체"/>
      <family val="1"/>
      <charset val="129"/>
    </font>
    <font>
      <b/>
      <sz val="12"/>
      <name val="궁서체"/>
      <family val="1"/>
      <charset val="129"/>
    </font>
    <font>
      <b/>
      <u/>
      <sz val="12"/>
      <name val="궁서체"/>
      <family val="1"/>
      <charset val="129"/>
    </font>
    <font>
      <b/>
      <sz val="14"/>
      <name val="궁서체"/>
      <family val="1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2"/>
      <color rgb="FF000000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3"/>
      <name val="맑은 고딕"/>
      <family val="3"/>
      <charset val="129"/>
    </font>
    <font>
      <sz val="11"/>
      <color indexed="16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u/>
      <sz val="11"/>
      <color theme="1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9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2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0" borderId="11" applyNumberForma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9" fillId="4" borderId="12" applyNumberFormat="0" applyFont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3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0" borderId="19" applyNumberFormat="0" applyAlignment="0" applyProtection="0">
      <alignment vertical="center"/>
    </xf>
    <xf numFmtId="0" fontId="39" fillId="0" borderId="0"/>
    <xf numFmtId="0" fontId="25" fillId="30" borderId="11" applyNumberFormat="0" applyAlignment="0" applyProtection="0">
      <alignment vertical="center"/>
    </xf>
    <xf numFmtId="0" fontId="19" fillId="4" borderId="12" applyNumberFormat="0" applyFon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8" fillId="30" borderId="19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55">
    <xf numFmtId="0" fontId="0" fillId="0" borderId="0" xfId="0">
      <alignment vertical="center"/>
    </xf>
    <xf numFmtId="0" fontId="5" fillId="0" borderId="4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7" fillId="0" borderId="0" xfId="2" applyFont="1" applyBorder="1" applyAlignment="1">
      <alignment vertical="center"/>
    </xf>
    <xf numFmtId="0" fontId="7" fillId="0" borderId="5" xfId="2" applyFont="1" applyBorder="1" applyAlignment="1">
      <alignment horizontal="center" vertical="center"/>
    </xf>
    <xf numFmtId="14" fontId="8" fillId="0" borderId="4" xfId="2" applyNumberFormat="1" applyFont="1" applyBorder="1" applyAlignment="1">
      <alignment vertical="center"/>
    </xf>
    <xf numFmtId="0" fontId="8" fillId="0" borderId="0" xfId="2" applyFont="1" applyBorder="1" applyAlignment="1">
      <alignment vertical="center"/>
    </xf>
    <xf numFmtId="0" fontId="8" fillId="0" borderId="4" xfId="2" applyFont="1" applyBorder="1" applyAlignment="1">
      <alignment vertical="center"/>
    </xf>
    <xf numFmtId="0" fontId="8" fillId="0" borderId="4" xfId="2" applyFont="1" applyBorder="1" applyAlignment="1"/>
    <xf numFmtId="0" fontId="9" fillId="0" borderId="0" xfId="2" applyFont="1" applyBorder="1" applyAlignment="1">
      <alignment vertical="center"/>
    </xf>
    <xf numFmtId="0" fontId="6" fillId="0" borderId="5" xfId="2" applyFont="1" applyBorder="1" applyAlignment="1">
      <alignment horizontal="center" vertical="center"/>
    </xf>
    <xf numFmtId="41" fontId="12" fillId="0" borderId="5" xfId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3" fillId="0" borderId="0" xfId="3">
      <alignment vertical="center"/>
    </xf>
    <xf numFmtId="0" fontId="7" fillId="0" borderId="5" xfId="2" applyFont="1" applyBorder="1" applyAlignment="1">
      <alignment horizontal="left" vertical="center" indent="1"/>
    </xf>
    <xf numFmtId="38" fontId="7" fillId="0" borderId="5" xfId="2" applyNumberFormat="1" applyFont="1" applyBorder="1" applyAlignment="1">
      <alignment horizontal="center" vertical="center"/>
    </xf>
    <xf numFmtId="177" fontId="7" fillId="0" borderId="5" xfId="2" applyNumberFormat="1" applyFont="1" applyBorder="1" applyAlignment="1">
      <alignment horizontal="right" vertical="center"/>
    </xf>
    <xf numFmtId="41" fontId="7" fillId="0" borderId="5" xfId="4" applyFont="1" applyBorder="1" applyAlignment="1">
      <alignment horizontal="left" vertical="center"/>
    </xf>
    <xf numFmtId="0" fontId="0" fillId="0" borderId="0" xfId="0">
      <alignment vertical="center"/>
    </xf>
    <xf numFmtId="0" fontId="15" fillId="0" borderId="0" xfId="6">
      <alignment vertical="center"/>
    </xf>
    <xf numFmtId="0" fontId="12" fillId="0" borderId="0" xfId="0" applyFont="1" applyFill="1" applyBorder="1" applyAlignment="1">
      <alignment vertical="center"/>
    </xf>
    <xf numFmtId="0" fontId="14" fillId="0" borderId="0" xfId="5" applyAlignment="1" applyProtection="1">
      <alignment vertical="center"/>
    </xf>
    <xf numFmtId="0" fontId="14" fillId="0" borderId="0" xfId="5" applyFill="1" applyBorder="1" applyAlignment="1" applyProtection="1">
      <alignment vertical="center"/>
    </xf>
    <xf numFmtId="0" fontId="7" fillId="0" borderId="10" xfId="2" applyFont="1" applyBorder="1" applyAlignment="1">
      <alignment horizontal="center" vertical="center"/>
    </xf>
    <xf numFmtId="0" fontId="0" fillId="0" borderId="0" xfId="0">
      <alignment vertical="center"/>
    </xf>
    <xf numFmtId="0" fontId="13" fillId="0" borderId="0" xfId="3">
      <alignment vertical="center"/>
    </xf>
    <xf numFmtId="0" fontId="0" fillId="0" borderId="5" xfId="0" quotePrefix="1" applyBorder="1">
      <alignment vertical="center"/>
    </xf>
    <xf numFmtId="177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>
      <alignment vertical="center"/>
    </xf>
    <xf numFmtId="41" fontId="43" fillId="0" borderId="5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6" fillId="0" borderId="2" xfId="2" applyFont="1" applyBorder="1" applyAlignment="1">
      <alignment horizontal="right" vertical="top"/>
    </xf>
    <xf numFmtId="0" fontId="6" fillId="0" borderId="3" xfId="2" applyFont="1" applyBorder="1" applyAlignment="1">
      <alignment horizontal="right" vertical="top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shrinkToFit="1"/>
    </xf>
    <xf numFmtId="0" fontId="7" fillId="0" borderId="2" xfId="2" applyFont="1" applyBorder="1" applyAlignment="1">
      <alignment horizontal="center" vertical="center" shrinkToFit="1"/>
    </xf>
    <xf numFmtId="0" fontId="7" fillId="0" borderId="3" xfId="2" applyFont="1" applyBorder="1" applyAlignment="1">
      <alignment horizontal="center" vertical="center" shrinkToFit="1"/>
    </xf>
    <xf numFmtId="0" fontId="10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41" fontId="7" fillId="0" borderId="1" xfId="4" applyFont="1" applyBorder="1" applyAlignment="1">
      <alignment horizontal="center" vertical="center"/>
    </xf>
    <xf numFmtId="41" fontId="7" fillId="0" borderId="3" xfId="4" applyFont="1" applyBorder="1" applyAlignment="1">
      <alignment horizontal="center" vertical="center"/>
    </xf>
    <xf numFmtId="0" fontId="0" fillId="0" borderId="5" xfId="0" applyBorder="1">
      <alignment vertical="center"/>
    </xf>
  </cellXfs>
  <cellStyles count="195">
    <cellStyle name="??&amp;O?&amp;H?_x0008_??_x0007__x0001__x0001_" xfId="13"/>
    <cellStyle name="20% - 강조색1 2" xfId="97"/>
    <cellStyle name="20% - 강조색2 2" xfId="98"/>
    <cellStyle name="20% - 강조색3 2" xfId="99"/>
    <cellStyle name="20% - 강조색4 2" xfId="100"/>
    <cellStyle name="20% - 강조색5 2" xfId="101"/>
    <cellStyle name="20% - 강조색6 2" xfId="102"/>
    <cellStyle name="40% - 강조색1 2" xfId="103"/>
    <cellStyle name="40% - 강조색2 2" xfId="104"/>
    <cellStyle name="40% - 강조색3 2" xfId="105"/>
    <cellStyle name="40% - 강조색4 2" xfId="106"/>
    <cellStyle name="40% - 강조색5 2" xfId="107"/>
    <cellStyle name="40% - 강조색6 2" xfId="108"/>
    <cellStyle name="60% - 강조색1 2" xfId="109"/>
    <cellStyle name="60% - 강조색2 2" xfId="110"/>
    <cellStyle name="60% - 강조색3 2" xfId="111"/>
    <cellStyle name="60% - 강조색4 2" xfId="112"/>
    <cellStyle name="60% - 강조색5 2" xfId="113"/>
    <cellStyle name="60% - 강조색6 2" xfId="114"/>
    <cellStyle name="Hyperlink" xfId="8"/>
    <cellStyle name="ハイパーリンク 4" xfId="11"/>
    <cellStyle name="ハイパーリンク 6" xfId="12"/>
    <cellStyle name="강조색1 2" xfId="115"/>
    <cellStyle name="강조색2 2" xfId="116"/>
    <cellStyle name="강조색3 2" xfId="117"/>
    <cellStyle name="강조색4 2" xfId="118"/>
    <cellStyle name="강조색5 2" xfId="119"/>
    <cellStyle name="강조색6 2" xfId="120"/>
    <cellStyle name="경고문 2" xfId="121"/>
    <cellStyle name="계산 2" xfId="122"/>
    <cellStyle name="계산 3" xfId="139"/>
    <cellStyle name="나쁨 2" xfId="94"/>
    <cellStyle name="나쁨 3" xfId="123"/>
    <cellStyle name="메모 2" xfId="124"/>
    <cellStyle name="메모 3" xfId="140"/>
    <cellStyle name="보통 2" xfId="125"/>
    <cellStyle name="설명 텍스트 2" xfId="126"/>
    <cellStyle name="셀 확인 2" xfId="127"/>
    <cellStyle name="쉼표 [0]" xfId="1" builtinId="6"/>
    <cellStyle name="쉼표 [0] 2" xfId="4"/>
    <cellStyle name="쉼표 [0] 2 2" xfId="40"/>
    <cellStyle name="쉼표 [0] 2 2 2" xfId="17"/>
    <cellStyle name="쉼표 [0] 2 2 2 2" xfId="20"/>
    <cellStyle name="쉼표 [0] 2 2 3" xfId="19"/>
    <cellStyle name="쉼표 [0] 2 3" xfId="61"/>
    <cellStyle name="쉼표 [0] 2 3 2" xfId="83"/>
    <cellStyle name="쉼표 [0] 2 3 3" xfId="23"/>
    <cellStyle name="쉼표 [0] 2 4" xfId="72"/>
    <cellStyle name="쉼표 [0] 2 4 2" xfId="15"/>
    <cellStyle name="쉼표 [0] 2 4 3" xfId="18"/>
    <cellStyle name="쉼표 [0] 2 5" xfId="35"/>
    <cellStyle name="쉼표 [0] 2 8" xfId="16"/>
    <cellStyle name="쉼표 [0] 3" xfId="41"/>
    <cellStyle name="쉼표 [0] 3 2" xfId="22"/>
    <cellStyle name="쉼표 [0] 4" xfId="39"/>
    <cellStyle name="쉼표 [0] 5" xfId="144"/>
    <cellStyle name="쉼표 [0] 7" xfId="21"/>
    <cellStyle name="연결된 셀 2" xfId="128"/>
    <cellStyle name="요약 2" xfId="129"/>
    <cellStyle name="요약 3" xfId="141"/>
    <cellStyle name="입력 2" xfId="130"/>
    <cellStyle name="입력 3" xfId="142"/>
    <cellStyle name="제목 1 2" xfId="132"/>
    <cellStyle name="제목 2 2" xfId="133"/>
    <cellStyle name="제목 3 2" xfId="134"/>
    <cellStyle name="제목 4 2" xfId="135"/>
    <cellStyle name="제목 5" xfId="131"/>
    <cellStyle name="좋음 2" xfId="93"/>
    <cellStyle name="좋음 3" xfId="136"/>
    <cellStyle name="출력 2" xfId="137"/>
    <cellStyle name="출력 3" xfId="143"/>
    <cellStyle name="표준" xfId="0" builtinId="0"/>
    <cellStyle name="표준 10" xfId="14"/>
    <cellStyle name="표준 10 2" xfId="38"/>
    <cellStyle name="표준 10 3" xfId="194"/>
    <cellStyle name="표준 11" xfId="6"/>
    <cellStyle name="표준 11 2" xfId="51"/>
    <cellStyle name="표준 11 3" xfId="62"/>
    <cellStyle name="표준 11 3 2" xfId="84"/>
    <cellStyle name="표준 11 4" xfId="73"/>
    <cellStyle name="표준 11 5" xfId="37"/>
    <cellStyle name="표준 12" xfId="87"/>
    <cellStyle name="표준 12 2" xfId="147"/>
    <cellStyle name="표준 12 3" xfId="146"/>
    <cellStyle name="표준 13" xfId="95"/>
    <cellStyle name="표준 13 2" xfId="149"/>
    <cellStyle name="표준 13 3" xfId="148"/>
    <cellStyle name="표준 14" xfId="145"/>
    <cellStyle name="표준 14 2" xfId="151"/>
    <cellStyle name="표준 14 3" xfId="150"/>
    <cellStyle name="표준 15" xfId="7"/>
    <cellStyle name="표준 15 2" xfId="24"/>
    <cellStyle name="표준 15 2 2" xfId="152"/>
    <cellStyle name="표준 16" xfId="153"/>
    <cellStyle name="표준 16 2" xfId="154"/>
    <cellStyle name="표준 17" xfId="155"/>
    <cellStyle name="표준 19" xfId="156"/>
    <cellStyle name="표준 2" xfId="2"/>
    <cellStyle name="표준 2 2" xfId="85"/>
    <cellStyle name="標準 2 2" xfId="192"/>
    <cellStyle name="표준 2 2 2" xfId="157"/>
    <cellStyle name="標準 2 2 2" xfId="9"/>
    <cellStyle name="표준 2 3" xfId="138"/>
    <cellStyle name="표준 2 3 2" xfId="159"/>
    <cellStyle name="표준 2 3 3" xfId="158"/>
    <cellStyle name="표준 2 4" xfId="160"/>
    <cellStyle name="標準 2 4" xfId="193"/>
    <cellStyle name="標準 2 4 3" xfId="10"/>
    <cellStyle name="표준 2 5" xfId="161"/>
    <cellStyle name="표준 23" xfId="162"/>
    <cellStyle name="표준 24" xfId="163"/>
    <cellStyle name="표준 24 2" xfId="164"/>
    <cellStyle name="표준 24 2 2" xfId="165"/>
    <cellStyle name="표준 24 2 2 2" xfId="166"/>
    <cellStyle name="표준 24 2 2 2 2" xfId="167"/>
    <cellStyle name="표준 24 2 2 2 3" xfId="168"/>
    <cellStyle name="표준 24 2 2 3" xfId="169"/>
    <cellStyle name="표준 24 2 2 4" xfId="170"/>
    <cellStyle name="표준 24 2 3" xfId="171"/>
    <cellStyle name="표준 24 2 3 2" xfId="172"/>
    <cellStyle name="표준 24 2 3 3" xfId="173"/>
    <cellStyle name="표준 24 2 4" xfId="174"/>
    <cellStyle name="표준 24 2 5" xfId="175"/>
    <cellStyle name="표준 24 3" xfId="176"/>
    <cellStyle name="표준 24 3 2" xfId="177"/>
    <cellStyle name="표준 24 3 2 2" xfId="178"/>
    <cellStyle name="표준 24 3 2 3" xfId="179"/>
    <cellStyle name="표준 24 3 3" xfId="180"/>
    <cellStyle name="표준 24 3 4" xfId="181"/>
    <cellStyle name="표준 24 4" xfId="182"/>
    <cellStyle name="표준 24 4 2" xfId="183"/>
    <cellStyle name="표준 24 4 3" xfId="184"/>
    <cellStyle name="표준 24 5" xfId="185"/>
    <cellStyle name="표준 24 6" xfId="186"/>
    <cellStyle name="표준 3" xfId="25"/>
    <cellStyle name="표준 3 2" xfId="31"/>
    <cellStyle name="표준 3 2 2" xfId="43"/>
    <cellStyle name="표준 3 2 3" xfId="57"/>
    <cellStyle name="표준 3 2 3 2" xfId="79"/>
    <cellStyle name="표준 3 2 4" xfId="68"/>
    <cellStyle name="표준 3 2 5" xfId="89"/>
    <cellStyle name="표준 3 2 6" xfId="187"/>
    <cellStyle name="표준 3 3" xfId="42"/>
    <cellStyle name="표준 3 4" xfId="52"/>
    <cellStyle name="표준 3 4 2" xfId="74"/>
    <cellStyle name="표준 3 5" xfId="63"/>
    <cellStyle name="표준 3 6" xfId="86"/>
    <cellStyle name="표준 4" xfId="30"/>
    <cellStyle name="표준 4 2" xfId="188"/>
    <cellStyle name="표준 5" xfId="26"/>
    <cellStyle name="標準 5" xfId="191"/>
    <cellStyle name="표준 5 2" xfId="32"/>
    <cellStyle name="표준 5 2 2" xfId="45"/>
    <cellStyle name="표준 5 2 3" xfId="58"/>
    <cellStyle name="표준 5 2 3 2" xfId="80"/>
    <cellStyle name="표준 5 2 4" xfId="69"/>
    <cellStyle name="표준 5 3" xfId="44"/>
    <cellStyle name="표준 5 4" xfId="53"/>
    <cellStyle name="표준 5 4 2" xfId="75"/>
    <cellStyle name="표준 5 5" xfId="64"/>
    <cellStyle name="표준 5 6" xfId="90"/>
    <cellStyle name="표준 6" xfId="27"/>
    <cellStyle name="표준 6 2" xfId="33"/>
    <cellStyle name="표준 6 2 2" xfId="47"/>
    <cellStyle name="표준 6 2 3" xfId="59"/>
    <cellStyle name="표준 6 2 3 2" xfId="81"/>
    <cellStyle name="표준 6 2 4" xfId="70"/>
    <cellStyle name="표준 6 3" xfId="46"/>
    <cellStyle name="표준 6 4" xfId="54"/>
    <cellStyle name="표준 6 4 2" xfId="76"/>
    <cellStyle name="표준 6 5" xfId="65"/>
    <cellStyle name="표준 6 6" xfId="91"/>
    <cellStyle name="표준 7" xfId="28"/>
    <cellStyle name="표준 7 2" xfId="34"/>
    <cellStyle name="표준 7 2 2" xfId="49"/>
    <cellStyle name="표준 7 2 3" xfId="60"/>
    <cellStyle name="표준 7 2 3 2" xfId="82"/>
    <cellStyle name="표준 7 2 4" xfId="71"/>
    <cellStyle name="표준 7 3" xfId="48"/>
    <cellStyle name="표준 7 4" xfId="55"/>
    <cellStyle name="표준 7 4 2" xfId="77"/>
    <cellStyle name="표준 7 5" xfId="66"/>
    <cellStyle name="표준 7 6" xfId="92"/>
    <cellStyle name="표준 8" xfId="29"/>
    <cellStyle name="표준 8 2" xfId="50"/>
    <cellStyle name="표준 8 3" xfId="56"/>
    <cellStyle name="표준 8 3 2" xfId="78"/>
    <cellStyle name="표준 8 4" xfId="67"/>
    <cellStyle name="표준 9" xfId="36"/>
    <cellStyle name="표준 9 2" xfId="189"/>
    <cellStyle name="하이퍼링크" xfId="3" builtinId="8"/>
    <cellStyle name="하이퍼링크 2" xfId="5"/>
    <cellStyle name="하이퍼링크 2 2" xfId="88"/>
    <cellStyle name="하이퍼링크 2 3" xfId="190"/>
    <cellStyle name="하이퍼링크 3" xfId="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323850</xdr:rowOff>
    </xdr:from>
    <xdr:to>
      <xdr:col>7</xdr:col>
      <xdr:colOff>57150</xdr:colOff>
      <xdr:row>3</xdr:row>
      <xdr:rowOff>194310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153025" y="323850"/>
          <a:ext cx="790575" cy="746760"/>
        </a:xfrm>
        <a:prstGeom prst="rect">
          <a:avLst/>
        </a:prstGeom>
        <a:effectLst>
          <a:softEdge rad="1524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Normal="100" workbookViewId="0">
      <selection activeCell="D12" sqref="D12"/>
    </sheetView>
  </sheetViews>
  <sheetFormatPr defaultRowHeight="16.5"/>
  <cols>
    <col min="1" max="1" width="22.125" style="19" customWidth="1"/>
    <col min="2" max="2" width="9.75" style="19" bestFit="1" customWidth="1"/>
    <col min="3" max="3" width="6.625" style="19" customWidth="1"/>
    <col min="4" max="4" width="10.25" style="19" customWidth="1"/>
    <col min="5" max="5" width="14.375" style="19" customWidth="1"/>
    <col min="6" max="6" width="6" style="19" bestFit="1" customWidth="1"/>
    <col min="7" max="7" width="8.125" style="19" bestFit="1" customWidth="1"/>
    <col min="8" max="9" width="9" style="19"/>
    <col min="10" max="10" width="18.625" style="19" customWidth="1"/>
    <col min="11" max="16384" width="9" style="19"/>
  </cols>
  <sheetData>
    <row r="1" spans="1:9" ht="27">
      <c r="A1" s="34" t="s">
        <v>22</v>
      </c>
      <c r="B1" s="35"/>
      <c r="C1" s="35"/>
      <c r="D1" s="35"/>
      <c r="E1" s="35"/>
      <c r="F1" s="35"/>
      <c r="G1" s="36"/>
    </row>
    <row r="2" spans="1:9" ht="25.5">
      <c r="A2" s="1"/>
      <c r="B2" s="2"/>
      <c r="C2" s="2"/>
      <c r="D2" s="2"/>
      <c r="E2" s="2"/>
      <c r="F2" s="37"/>
      <c r="G2" s="38"/>
    </row>
    <row r="3" spans="1:9">
      <c r="A3" s="3"/>
      <c r="B3" s="4"/>
      <c r="C3" s="4"/>
      <c r="D3" s="5" t="s">
        <v>0</v>
      </c>
      <c r="E3" s="39" t="s">
        <v>1</v>
      </c>
      <c r="F3" s="40"/>
      <c r="G3" s="41"/>
    </row>
    <row r="4" spans="1:9">
      <c r="A4" s="6" t="s">
        <v>23</v>
      </c>
      <c r="B4" s="7"/>
      <c r="C4" s="4"/>
      <c r="D4" s="5" t="s">
        <v>2</v>
      </c>
      <c r="E4" s="5" t="s">
        <v>3</v>
      </c>
      <c r="F4" s="5" t="s">
        <v>4</v>
      </c>
      <c r="G4" s="5" t="s">
        <v>5</v>
      </c>
    </row>
    <row r="5" spans="1:9">
      <c r="A5" s="8" t="s">
        <v>24</v>
      </c>
      <c r="B5" s="7"/>
      <c r="C5" s="4"/>
      <c r="D5" s="5" t="s">
        <v>6</v>
      </c>
      <c r="E5" s="42" t="s">
        <v>21</v>
      </c>
      <c r="F5" s="43"/>
      <c r="G5" s="44"/>
    </row>
    <row r="6" spans="1:9">
      <c r="A6" s="9"/>
      <c r="B6" s="10"/>
      <c r="C6" s="4"/>
      <c r="D6" s="5" t="s">
        <v>7</v>
      </c>
      <c r="E6" s="5" t="s">
        <v>8</v>
      </c>
      <c r="F6" s="5" t="s">
        <v>9</v>
      </c>
      <c r="G6" s="11" t="s">
        <v>10</v>
      </c>
    </row>
    <row r="7" spans="1:9" ht="16.5" customHeight="1">
      <c r="A7" s="45" t="str">
        <f>"합계금액 : 일금"&amp;TEXT(E41,"[DBNum4]")&amp;"원정 (\ "&amp;TEXT(E41,"#,###")&amp;"원)"</f>
        <v>합계금액 : 일금이십칠만팔천팔백원정 (\ 278,800원)</v>
      </c>
      <c r="B7" s="46"/>
      <c r="C7" s="46"/>
      <c r="D7" s="46"/>
      <c r="E7" s="46"/>
      <c r="F7" s="46"/>
      <c r="G7" s="47"/>
    </row>
    <row r="8" spans="1:9" ht="16.5" customHeight="1">
      <c r="A8" s="48"/>
      <c r="B8" s="49"/>
      <c r="C8" s="49"/>
      <c r="D8" s="49"/>
      <c r="E8" s="49"/>
      <c r="F8" s="49"/>
      <c r="G8" s="50"/>
    </row>
    <row r="9" spans="1:9">
      <c r="A9" s="24" t="s">
        <v>20</v>
      </c>
      <c r="B9" s="24" t="s">
        <v>11</v>
      </c>
      <c r="C9" s="24" t="s">
        <v>12</v>
      </c>
      <c r="D9" s="24" t="s">
        <v>13</v>
      </c>
      <c r="E9" s="24" t="s">
        <v>14</v>
      </c>
      <c r="F9" s="51" t="s">
        <v>15</v>
      </c>
      <c r="G9" s="51"/>
      <c r="H9" s="20"/>
    </row>
    <row r="10" spans="1:9">
      <c r="A10" s="27" t="s">
        <v>25</v>
      </c>
      <c r="B10" s="27" t="s">
        <v>26</v>
      </c>
      <c r="C10" s="54">
        <v>2</v>
      </c>
      <c r="D10" s="54">
        <v>58000</v>
      </c>
      <c r="E10" s="31">
        <f>C10*D10</f>
        <v>116000</v>
      </c>
      <c r="F10" s="32"/>
      <c r="G10" s="33"/>
      <c r="H10" s="25"/>
      <c r="I10" s="13"/>
    </row>
    <row r="11" spans="1:9">
      <c r="A11" s="27" t="s">
        <v>27</v>
      </c>
      <c r="B11" s="27" t="s">
        <v>32</v>
      </c>
      <c r="C11" s="54">
        <v>2</v>
      </c>
      <c r="D11" s="54">
        <v>5400</v>
      </c>
      <c r="E11" s="12">
        <f t="shared" ref="E11:E40" si="0">C11*D11</f>
        <v>10800</v>
      </c>
      <c r="F11" s="32"/>
      <c r="G11" s="33"/>
      <c r="H11" s="25"/>
      <c r="I11" s="13"/>
    </row>
    <row r="12" spans="1:9">
      <c r="A12" s="27" t="s">
        <v>28</v>
      </c>
      <c r="B12" s="27" t="s">
        <v>33</v>
      </c>
      <c r="C12" s="54">
        <v>2</v>
      </c>
      <c r="D12" s="54">
        <v>7000</v>
      </c>
      <c r="E12" s="12">
        <f t="shared" si="0"/>
        <v>14000</v>
      </c>
      <c r="F12" s="32"/>
      <c r="G12" s="33"/>
      <c r="H12" s="25"/>
      <c r="I12" s="13"/>
    </row>
    <row r="13" spans="1:9">
      <c r="A13" s="27" t="s">
        <v>29</v>
      </c>
      <c r="B13" s="27" t="s">
        <v>34</v>
      </c>
      <c r="C13" s="54">
        <v>2</v>
      </c>
      <c r="D13" s="54">
        <v>39000</v>
      </c>
      <c r="E13" s="12">
        <f t="shared" si="0"/>
        <v>78000</v>
      </c>
      <c r="F13" s="32"/>
      <c r="G13" s="33"/>
      <c r="H13" s="25"/>
      <c r="I13" s="13"/>
    </row>
    <row r="14" spans="1:9">
      <c r="A14" s="27" t="s">
        <v>30</v>
      </c>
      <c r="B14" s="27" t="s">
        <v>35</v>
      </c>
      <c r="C14" s="54">
        <v>2</v>
      </c>
      <c r="D14" s="54">
        <v>17000</v>
      </c>
      <c r="E14" s="12">
        <f t="shared" si="0"/>
        <v>34000</v>
      </c>
      <c r="F14" s="32"/>
      <c r="G14" s="33"/>
      <c r="H14" s="26"/>
    </row>
    <row r="15" spans="1:9">
      <c r="A15" s="27" t="s">
        <v>31</v>
      </c>
      <c r="B15" s="27" t="s">
        <v>36</v>
      </c>
      <c r="C15" s="54">
        <v>2</v>
      </c>
      <c r="D15" s="54">
        <v>13000</v>
      </c>
      <c r="E15" s="12">
        <f t="shared" si="0"/>
        <v>26000</v>
      </c>
      <c r="F15" s="32"/>
      <c r="G15" s="33"/>
      <c r="H15" s="26"/>
    </row>
    <row r="16" spans="1:9">
      <c r="A16" s="27"/>
      <c r="B16" s="27"/>
      <c r="C16" s="54"/>
      <c r="D16" s="54"/>
      <c r="E16" s="12">
        <f t="shared" si="0"/>
        <v>0</v>
      </c>
      <c r="F16" s="32"/>
      <c r="G16" s="33"/>
      <c r="H16" s="26"/>
    </row>
    <row r="17" spans="1:11">
      <c r="A17" s="27"/>
      <c r="B17" s="27"/>
      <c r="C17" s="29"/>
      <c r="D17" s="28"/>
      <c r="E17" s="12">
        <f t="shared" si="0"/>
        <v>0</v>
      </c>
      <c r="F17" s="32"/>
      <c r="G17" s="33"/>
      <c r="H17" s="26"/>
    </row>
    <row r="18" spans="1:11">
      <c r="A18" s="27"/>
      <c r="B18" s="27"/>
      <c r="C18" s="29"/>
      <c r="D18" s="28"/>
      <c r="E18" s="12">
        <f t="shared" si="0"/>
        <v>0</v>
      </c>
      <c r="F18" s="32"/>
      <c r="G18" s="33"/>
      <c r="H18" s="22"/>
    </row>
    <row r="19" spans="1:11">
      <c r="A19" s="27"/>
      <c r="B19" s="27"/>
      <c r="C19" s="29"/>
      <c r="D19" s="28"/>
      <c r="E19" s="12">
        <f t="shared" si="0"/>
        <v>0</v>
      </c>
      <c r="F19" s="32"/>
      <c r="G19" s="33"/>
      <c r="H19" s="22"/>
    </row>
    <row r="20" spans="1:11">
      <c r="A20" s="27"/>
      <c r="B20" s="27"/>
      <c r="C20" s="29"/>
      <c r="D20" s="28"/>
      <c r="E20" s="12">
        <f t="shared" si="0"/>
        <v>0</v>
      </c>
      <c r="F20" s="32"/>
      <c r="G20" s="33"/>
      <c r="H20" s="22"/>
    </row>
    <row r="21" spans="1:11">
      <c r="A21" s="27"/>
      <c r="B21" s="27"/>
      <c r="C21" s="29"/>
      <c r="D21" s="28"/>
      <c r="E21" s="12">
        <f t="shared" si="0"/>
        <v>0</v>
      </c>
      <c r="F21" s="32"/>
      <c r="G21" s="33"/>
      <c r="H21" s="23"/>
    </row>
    <row r="22" spans="1:11">
      <c r="A22" s="27"/>
      <c r="B22" s="27"/>
      <c r="C22" s="29"/>
      <c r="D22" s="28"/>
      <c r="E22" s="12">
        <f t="shared" si="0"/>
        <v>0</v>
      </c>
      <c r="F22" s="32"/>
      <c r="G22" s="33"/>
      <c r="H22" s="21"/>
      <c r="K22" s="19" t="s">
        <v>19</v>
      </c>
    </row>
    <row r="23" spans="1:11">
      <c r="A23" s="27"/>
      <c r="B23" s="27"/>
      <c r="C23" s="29"/>
      <c r="D23" s="28"/>
      <c r="E23" s="12">
        <f t="shared" si="0"/>
        <v>0</v>
      </c>
      <c r="F23" s="32"/>
      <c r="G23" s="33"/>
      <c r="H23" s="22"/>
    </row>
    <row r="24" spans="1:11">
      <c r="A24" s="27"/>
      <c r="B24" s="27"/>
      <c r="C24" s="29"/>
      <c r="D24" s="28"/>
      <c r="E24" s="12">
        <f t="shared" si="0"/>
        <v>0</v>
      </c>
      <c r="F24" s="32"/>
      <c r="G24" s="33"/>
      <c r="H24" s="21"/>
      <c r="J24" s="19" t="s">
        <v>17</v>
      </c>
    </row>
    <row r="25" spans="1:11" ht="16.5" customHeight="1">
      <c r="A25" s="27"/>
      <c r="B25" s="27"/>
      <c r="C25" s="29"/>
      <c r="D25" s="28"/>
      <c r="E25" s="12">
        <f t="shared" si="0"/>
        <v>0</v>
      </c>
      <c r="F25" s="32"/>
      <c r="G25" s="33"/>
      <c r="H25" s="23"/>
    </row>
    <row r="26" spans="1:11">
      <c r="A26" s="27"/>
      <c r="B26" s="27"/>
      <c r="C26" s="29"/>
      <c r="D26" s="28"/>
      <c r="E26" s="12">
        <f t="shared" si="0"/>
        <v>0</v>
      </c>
      <c r="F26" s="32"/>
      <c r="G26" s="33"/>
      <c r="H26" s="14"/>
    </row>
    <row r="27" spans="1:11">
      <c r="A27" s="27"/>
      <c r="B27" s="27"/>
      <c r="C27" s="29"/>
      <c r="D27" s="28"/>
      <c r="E27" s="12">
        <f t="shared" si="0"/>
        <v>0</v>
      </c>
      <c r="F27" s="32"/>
      <c r="G27" s="33"/>
    </row>
    <row r="28" spans="1:11">
      <c r="A28" s="27"/>
      <c r="B28" s="27"/>
      <c r="C28" s="29"/>
      <c r="D28" s="28"/>
      <c r="E28" s="12">
        <f t="shared" si="0"/>
        <v>0</v>
      </c>
      <c r="F28" s="32"/>
      <c r="G28" s="33"/>
    </row>
    <row r="29" spans="1:11">
      <c r="A29" s="27"/>
      <c r="B29" s="27"/>
      <c r="C29" s="29"/>
      <c r="D29" s="28"/>
      <c r="E29" s="12">
        <f t="shared" si="0"/>
        <v>0</v>
      </c>
      <c r="F29" s="32"/>
      <c r="G29" s="33"/>
      <c r="J29" s="19" t="s">
        <v>17</v>
      </c>
    </row>
    <row r="30" spans="1:11">
      <c r="A30" s="27"/>
      <c r="B30" s="27"/>
      <c r="C30" s="29"/>
      <c r="D30" s="28"/>
      <c r="E30" s="12">
        <f t="shared" si="0"/>
        <v>0</v>
      </c>
      <c r="F30" s="32"/>
      <c r="G30" s="33"/>
    </row>
    <row r="31" spans="1:11">
      <c r="A31" s="27"/>
      <c r="B31" s="27"/>
      <c r="C31" s="29"/>
      <c r="D31" s="28"/>
      <c r="E31" s="12">
        <f t="shared" si="0"/>
        <v>0</v>
      </c>
      <c r="F31" s="32"/>
      <c r="G31" s="33"/>
    </row>
    <row r="32" spans="1:11">
      <c r="A32" s="27"/>
      <c r="B32" s="27"/>
      <c r="C32" s="29"/>
      <c r="D32" s="28"/>
      <c r="E32" s="12">
        <f t="shared" si="0"/>
        <v>0</v>
      </c>
      <c r="F32" s="32"/>
      <c r="G32" s="33"/>
      <c r="K32" s="19" t="s">
        <v>18</v>
      </c>
    </row>
    <row r="33" spans="1:8">
      <c r="A33" s="27"/>
      <c r="B33" s="27"/>
      <c r="C33" s="29"/>
      <c r="D33" s="28"/>
      <c r="E33" s="12">
        <f t="shared" si="0"/>
        <v>0</v>
      </c>
      <c r="F33" s="32"/>
      <c r="G33" s="33"/>
      <c r="H33" s="14"/>
    </row>
    <row r="34" spans="1:8">
      <c r="A34" s="27"/>
      <c r="B34" s="27"/>
      <c r="C34" s="29"/>
      <c r="D34" s="28"/>
      <c r="E34" s="12">
        <f t="shared" si="0"/>
        <v>0</v>
      </c>
      <c r="F34" s="32"/>
      <c r="G34" s="33"/>
    </row>
    <row r="35" spans="1:8" s="30" customFormat="1">
      <c r="A35" s="27"/>
      <c r="B35" s="27"/>
      <c r="C35" s="29"/>
      <c r="D35" s="28"/>
      <c r="E35" s="12">
        <f>C35*D35</f>
        <v>0</v>
      </c>
      <c r="F35" s="32"/>
      <c r="G35" s="33"/>
    </row>
    <row r="36" spans="1:8">
      <c r="A36" s="27"/>
      <c r="B36" s="27"/>
      <c r="C36" s="29"/>
      <c r="D36" s="28"/>
      <c r="E36" s="12">
        <f t="shared" si="0"/>
        <v>0</v>
      </c>
      <c r="F36" s="32"/>
      <c r="G36" s="33"/>
    </row>
    <row r="37" spans="1:8" s="25" customFormat="1">
      <c r="A37" s="27"/>
      <c r="B37" s="27"/>
      <c r="C37" s="29"/>
      <c r="D37" s="28"/>
      <c r="E37" s="12">
        <f t="shared" si="0"/>
        <v>0</v>
      </c>
      <c r="F37" s="32"/>
      <c r="G37" s="33"/>
    </row>
    <row r="38" spans="1:8" s="25" customFormat="1">
      <c r="A38" s="27"/>
      <c r="B38" s="27"/>
      <c r="C38" s="29"/>
      <c r="D38" s="28"/>
      <c r="E38" s="12">
        <f t="shared" si="0"/>
        <v>0</v>
      </c>
      <c r="F38" s="32"/>
      <c r="G38" s="33"/>
    </row>
    <row r="39" spans="1:8" s="25" customFormat="1">
      <c r="A39" s="27"/>
      <c r="B39" s="27"/>
      <c r="C39" s="29"/>
      <c r="D39" s="28"/>
      <c r="E39" s="12">
        <f t="shared" si="0"/>
        <v>0</v>
      </c>
      <c r="F39" s="32"/>
      <c r="G39" s="33"/>
    </row>
    <row r="40" spans="1:8" s="25" customFormat="1">
      <c r="A40" s="27"/>
      <c r="B40" s="27"/>
      <c r="C40" s="29"/>
      <c r="D40" s="28"/>
      <c r="E40" s="12">
        <f t="shared" si="0"/>
        <v>0</v>
      </c>
      <c r="F40" s="32"/>
      <c r="G40" s="33"/>
    </row>
    <row r="41" spans="1:8">
      <c r="A41" s="15" t="s">
        <v>16</v>
      </c>
      <c r="B41" s="5"/>
      <c r="C41" s="16"/>
      <c r="D41" s="17"/>
      <c r="E41" s="18">
        <f>SUM(E10:E40)</f>
        <v>278800</v>
      </c>
      <c r="F41" s="52"/>
      <c r="G41" s="53"/>
    </row>
  </sheetData>
  <mergeCells count="38">
    <mergeCell ref="F41:G41"/>
    <mergeCell ref="F28:G28"/>
    <mergeCell ref="F29:G29"/>
    <mergeCell ref="F30:G30"/>
    <mergeCell ref="F31:G31"/>
    <mergeCell ref="F32:G32"/>
    <mergeCell ref="F33:G33"/>
    <mergeCell ref="F34:G34"/>
    <mergeCell ref="F36:G36"/>
    <mergeCell ref="F37:G37"/>
    <mergeCell ref="F38:G38"/>
    <mergeCell ref="F39:G39"/>
    <mergeCell ref="F40:G40"/>
    <mergeCell ref="F35:G3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15:G15"/>
    <mergeCell ref="A1:G1"/>
    <mergeCell ref="F2:G2"/>
    <mergeCell ref="E3:G3"/>
    <mergeCell ref="E5:G5"/>
    <mergeCell ref="A7:G8"/>
    <mergeCell ref="F9:G9"/>
    <mergeCell ref="F10:G10"/>
    <mergeCell ref="F11:G11"/>
    <mergeCell ref="F12:G12"/>
    <mergeCell ref="F13:G13"/>
    <mergeCell ref="F14:G1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OP1</cp:lastModifiedBy>
  <cp:lastPrinted>2024-10-04T08:23:39Z</cp:lastPrinted>
  <dcterms:created xsi:type="dcterms:W3CDTF">2023-12-22T04:26:10Z</dcterms:created>
  <dcterms:modified xsi:type="dcterms:W3CDTF">2025-12-23T05:36:03Z</dcterms:modified>
</cp:coreProperties>
</file>