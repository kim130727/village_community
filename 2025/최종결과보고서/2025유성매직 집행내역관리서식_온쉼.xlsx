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03 온쉼공동체" sheetId="4" r:id="rId1"/>
  </sheets>
  <calcPr calcId="162913"/>
  <extLst>
    <ext uri="GoogleSheetsCustomDataVersion2">
      <go:sheetsCustomData xmlns:go="http://customooxmlschemas.google.com/" r:id="rId17" roundtripDataChecksum="0jTkD3aJdriTxWoGrxAxSLK/SdBvr6oeP+jsNy8iTTs="/>
    </ext>
  </extLst>
</workbook>
</file>

<file path=xl/calcChain.xml><?xml version="1.0" encoding="utf-8"?>
<calcChain xmlns="http://schemas.openxmlformats.org/spreadsheetml/2006/main">
  <c r="G64" i="4" l="1"/>
  <c r="F64" i="4"/>
  <c r="E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G35" i="4"/>
  <c r="P34" i="4"/>
  <c r="H35" i="4" s="1"/>
  <c r="I18" i="4" s="1"/>
  <c r="J18" i="4" s="1"/>
  <c r="H34" i="4"/>
  <c r="I17" i="4" s="1"/>
  <c r="G34" i="4"/>
  <c r="I34" i="4" s="1"/>
  <c r="H33" i="4"/>
  <c r="G33" i="4"/>
  <c r="I33" i="4" s="1"/>
  <c r="H32" i="4"/>
  <c r="G32" i="4"/>
  <c r="I32" i="4" s="1"/>
  <c r="H31" i="4"/>
  <c r="I14" i="4" s="1"/>
  <c r="G31" i="4"/>
  <c r="I31" i="4" s="1"/>
  <c r="I25" i="4"/>
  <c r="G25" i="4"/>
  <c r="H25" i="4" s="1"/>
  <c r="J25" i="4" s="1"/>
  <c r="F25" i="4"/>
  <c r="I24" i="4"/>
  <c r="G24" i="4"/>
  <c r="F24" i="4"/>
  <c r="H24" i="4" s="1"/>
  <c r="J24" i="4" s="1"/>
  <c r="I23" i="4"/>
  <c r="H23" i="4"/>
  <c r="J23" i="4" s="1"/>
  <c r="G23" i="4"/>
  <c r="F23" i="4"/>
  <c r="I22" i="4"/>
  <c r="G22" i="4"/>
  <c r="H22" i="4" s="1"/>
  <c r="J22" i="4" s="1"/>
  <c r="F22" i="4"/>
  <c r="D22" i="4"/>
  <c r="E22" i="4" s="1"/>
  <c r="I21" i="4"/>
  <c r="H21" i="4"/>
  <c r="J21" i="4" s="1"/>
  <c r="G21" i="4"/>
  <c r="F21" i="4"/>
  <c r="J20" i="4"/>
  <c r="I20" i="4"/>
  <c r="G20" i="4"/>
  <c r="H20" i="4" s="1"/>
  <c r="F20" i="4"/>
  <c r="I19" i="4"/>
  <c r="G19" i="4"/>
  <c r="F19" i="4"/>
  <c r="H19" i="4" s="1"/>
  <c r="J19" i="4" s="1"/>
  <c r="D19" i="4"/>
  <c r="E19" i="4" s="1"/>
  <c r="G18" i="4"/>
  <c r="H18" i="4" s="1"/>
  <c r="F18" i="4"/>
  <c r="E18" i="4"/>
  <c r="J17" i="4"/>
  <c r="G17" i="4"/>
  <c r="H17" i="4" s="1"/>
  <c r="F17" i="4"/>
  <c r="I16" i="4"/>
  <c r="G16" i="4"/>
  <c r="F16" i="4"/>
  <c r="H16" i="4" s="1"/>
  <c r="J16" i="4" s="1"/>
  <c r="I15" i="4"/>
  <c r="H15" i="4"/>
  <c r="J15" i="4" s="1"/>
  <c r="G15" i="4"/>
  <c r="F15" i="4"/>
  <c r="G14" i="4"/>
  <c r="F14" i="4"/>
  <c r="D14" i="4"/>
  <c r="E14" i="4" s="1"/>
  <c r="F9" i="4" l="1"/>
  <c r="I26" i="4"/>
  <c r="H14" i="4"/>
  <c r="G26" i="4"/>
  <c r="I35" i="4"/>
  <c r="I64" i="4" s="1"/>
  <c r="F26" i="4"/>
  <c r="H64" i="4"/>
  <c r="H26" i="4" l="1"/>
  <c r="J14" i="4"/>
  <c r="J26" i="4" s="1"/>
  <c r="F10" i="4"/>
  <c r="C10" i="4"/>
</calcChain>
</file>

<file path=xl/sharedStrings.xml><?xml version="1.0" encoding="utf-8"?>
<sst xmlns="http://schemas.openxmlformats.org/spreadsheetml/2006/main" count="341" uniqueCount="102">
  <si>
    <t>줄기</t>
  </si>
  <si>
    <t>온쉼공동체</t>
  </si>
  <si>
    <t>2025 유성매직 공모사업 집행 내역 관리</t>
  </si>
  <si>
    <t xml:space="preserve">단체 정보 </t>
  </si>
  <si>
    <t>* 목록선택 및 직접입력하여 기입</t>
  </si>
  <si>
    <t>보조금 집행 현황</t>
  </si>
  <si>
    <t>편성세목별 실집행액</t>
  </si>
  <si>
    <t>* 모든 항목 자동입력</t>
  </si>
  <si>
    <t>예산비목</t>
  </si>
  <si>
    <t>편성세목</t>
  </si>
  <si>
    <t>편성제한(%)</t>
  </si>
  <si>
    <t>최대가용액</t>
  </si>
  <si>
    <t>사무관리비</t>
  </si>
  <si>
    <t>활동비</t>
  </si>
  <si>
    <t>홍보인쇄비</t>
  </si>
  <si>
    <t>소모품구입비</t>
  </si>
  <si>
    <t>임차비</t>
  </si>
  <si>
    <t>간담회비</t>
  </si>
  <si>
    <t>회의비</t>
  </si>
  <si>
    <t>원고비</t>
  </si>
  <si>
    <t>강사비</t>
  </si>
  <si>
    <t>공연비</t>
  </si>
  <si>
    <t>견학비</t>
  </si>
  <si>
    <t>국내여비</t>
  </si>
  <si>
    <t>시외여비</t>
  </si>
  <si>
    <t>공공운영비</t>
  </si>
  <si>
    <t>인터넷통신우편비</t>
  </si>
  <si>
    <t>합계</t>
  </si>
  <si>
    <t>세부사업/편성세목별 실집행액</t>
  </si>
  <si>
    <t>실집행 내역</t>
  </si>
  <si>
    <t>출력</t>
  </si>
  <si>
    <t>세부사업 1</t>
  </si>
  <si>
    <t>체크카드</t>
  </si>
  <si>
    <t>완료</t>
  </si>
  <si>
    <t>o</t>
  </si>
  <si>
    <t>계좌이체</t>
  </si>
  <si>
    <t>알파문구노은점</t>
  </si>
  <si>
    <t>요청</t>
  </si>
  <si>
    <t>세부사업
③</t>
  </si>
  <si>
    <r>
      <rPr>
        <b/>
        <u/>
        <sz val="10"/>
        <color theme="1"/>
        <rFont val="맑은 고딕"/>
        <family val="3"/>
        <charset val="129"/>
      </rPr>
      <t xml:space="preserve">※ 금액 범위 초과 또는 수정확인 필요시 </t>
    </r>
    <r>
      <rPr>
        <b/>
        <u/>
        <sz val="10"/>
        <color rgb="FFFF0000"/>
        <rFont val="맑은 고딕"/>
        <family val="3"/>
        <charset val="129"/>
      </rPr>
      <t>빨강색</t>
    </r>
    <r>
      <rPr>
        <b/>
        <u/>
        <sz val="10"/>
        <color rgb="FFC00000"/>
        <rFont val="맑은 고딕"/>
        <family val="3"/>
        <charset val="129"/>
      </rPr>
      <t xml:space="preserve"> </t>
    </r>
    <r>
      <rPr>
        <b/>
        <u/>
        <sz val="10"/>
        <color theme="1"/>
        <rFont val="맑은 고딕"/>
        <family val="3"/>
        <charset val="129"/>
      </rPr>
      <t>표시됨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</si>
  <si>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구분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</si>
  <si>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단체명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</si>
  <si>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대표자명</t>
    </r>
  </si>
  <si>
    <t>임진산</t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</si>
  <si>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계좌번호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</si>
  <si>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카드번호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</si>
  <si>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 xml:space="preserve">보조금 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</si>
  <si>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theme="1"/>
        <rFont val="Malgun Gothic"/>
        <family val="3"/>
        <charset val="129"/>
      </rPr>
      <t xml:space="preserve">실집행액 </t>
    </r>
    <r>
      <rPr>
        <b/>
        <sz val="10"/>
        <color theme="1"/>
        <rFont val="맑은 고딕"/>
        <family val="3"/>
        <charset val="129"/>
      </rPr>
      <t>②</t>
    </r>
  </si>
  <si>
    <r>
      <rPr>
        <b/>
        <sz val="11"/>
        <color theme="1"/>
        <rFont val="Malgun Gothic"/>
        <family val="3"/>
        <charset val="129"/>
      </rPr>
      <t xml:space="preserve">잔여액 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</si>
  <si>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>실집행율</t>
    </r>
    <r>
      <rPr>
        <b/>
        <sz val="10"/>
        <color theme="1"/>
        <rFont val="맑은 고딕"/>
        <family val="3"/>
        <charset val="129"/>
      </rPr>
      <t xml:space="preserve"> (②/①)</t>
    </r>
  </si>
  <si>
    <r>
      <rPr>
        <b/>
        <sz val="11"/>
        <color theme="1"/>
        <rFont val="Malgun Gothic"/>
        <family val="3"/>
        <charset val="129"/>
      </rPr>
      <t xml:space="preserve">(당초)예산액
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</si>
  <si>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theme="1"/>
        <rFont val="Malgun Gothic"/>
        <family val="3"/>
        <charset val="129"/>
      </rPr>
      <t xml:space="preserve">(변경)증감액
</t>
    </r>
    <r>
      <rPr>
        <b/>
        <sz val="10"/>
        <color theme="1"/>
        <rFont val="맑은 고딕"/>
        <family val="3"/>
        <charset val="129"/>
      </rPr>
      <t>②</t>
    </r>
  </si>
  <si>
    <r>
      <rPr>
        <b/>
        <sz val="11"/>
        <color theme="1"/>
        <rFont val="Malgun Gothic"/>
        <family val="3"/>
        <charset val="129"/>
      </rPr>
      <t xml:space="preserve">(최종)예산액 </t>
    </r>
    <r>
      <rPr>
        <b/>
        <sz val="10"/>
        <color theme="1"/>
        <rFont val="맑은 고딕"/>
        <family val="3"/>
        <charset val="129"/>
      </rPr>
      <t>③</t>
    </r>
    <r>
      <rPr>
        <b/>
        <sz val="11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</si>
  <si>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 xml:space="preserve">실집행액 </t>
    </r>
    <r>
      <rPr>
        <b/>
        <sz val="10"/>
        <color theme="1"/>
        <rFont val="맑은 고딕"/>
        <family val="3"/>
        <charset val="129"/>
      </rPr>
      <t>④</t>
    </r>
  </si>
  <si>
    <r>
      <rPr>
        <b/>
        <sz val="11"/>
        <color theme="1"/>
        <rFont val="Malgun Gothic"/>
        <family val="3"/>
        <charset val="129"/>
      </rPr>
      <t xml:space="preserve">잔액 </t>
    </r>
    <r>
      <rPr>
        <b/>
        <sz val="10"/>
        <color theme="1"/>
        <rFont val="맑은 고딕"/>
        <family val="3"/>
        <charset val="129"/>
      </rPr>
      <t>⑤
(③-④)</t>
    </r>
  </si>
  <si>
    <r>
      <rPr>
        <b/>
        <sz val="10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 xml:space="preserve">(당초)예산액①, </t>
    </r>
    <r>
      <rPr>
        <b/>
        <sz val="10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>(변경)증감액② 외 모든 항목 자동입력 /</t>
    </r>
    <r>
      <rPr>
        <b/>
        <sz val="10"/>
        <color rgb="FFFF0000"/>
        <rFont val="맑은 고딕"/>
        <family val="3"/>
        <charset val="129"/>
      </rPr>
      <t xml:space="preserve"> *</t>
    </r>
    <r>
      <rPr>
        <b/>
        <sz val="10"/>
        <color theme="1"/>
        <rFont val="맑은 고딕"/>
        <family val="3"/>
        <charset val="129"/>
      </rPr>
      <t>(변경)증감액② 예시 : 100원 증액시 100, 감액시 -100 숫자 입력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</si>
  <si>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(당초)예산액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</si>
  <si>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(변경)증감액</t>
    </r>
    <r>
      <rPr>
        <b/>
        <sz val="10"/>
        <color theme="1"/>
        <rFont val="맑은 고딕"/>
        <family val="3"/>
        <charset val="129"/>
      </rPr>
      <t>②
(</t>
    </r>
    <r>
      <rPr>
        <b/>
        <sz val="9"/>
        <color theme="1"/>
        <rFont val="맑은 고딕"/>
        <family val="3"/>
        <charset val="129"/>
      </rPr>
      <t>숫자만 입력)</t>
    </r>
  </si>
  <si>
    <r>
      <rPr>
        <b/>
        <sz val="11"/>
        <color theme="1"/>
        <rFont val="Malgun Gothic"/>
        <family val="3"/>
        <charset val="129"/>
      </rPr>
      <t>(최종)예산액</t>
    </r>
    <r>
      <rPr>
        <b/>
        <sz val="10"/>
        <color theme="1"/>
        <rFont val="맑은 고딕"/>
        <family val="3"/>
        <charset val="129"/>
      </rPr>
      <t>③</t>
    </r>
    <r>
      <rPr>
        <b/>
        <sz val="11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</si>
  <si>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>실집행액</t>
    </r>
    <r>
      <rPr>
        <b/>
        <sz val="10"/>
        <color theme="1"/>
        <rFont val="맑은 고딕"/>
        <family val="3"/>
        <charset val="129"/>
      </rPr>
      <t>④</t>
    </r>
  </si>
  <si>
    <r>
      <rPr>
        <b/>
        <sz val="11"/>
        <color theme="1"/>
        <rFont val="Malgun Gothic"/>
        <family val="3"/>
        <charset val="129"/>
      </rPr>
      <t>잔액</t>
    </r>
    <r>
      <rPr>
        <b/>
        <sz val="10"/>
        <color theme="1"/>
        <rFont val="맑은 고딕"/>
        <family val="3"/>
        <charset val="129"/>
      </rPr>
      <t>⑤
(③-④)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</si>
  <si>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지출결의번호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</si>
  <si>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거래일자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</si>
  <si>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세부사업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</si>
  <si>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보조세목(편성)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</si>
  <si>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거래처명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</si>
  <si>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 xml:space="preserve">실집행액 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</si>
  <si>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지출방법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</si>
  <si>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비고</t>
    </r>
  </si>
  <si>
    <r>
      <rPr>
        <b/>
        <sz val="11"/>
        <color rgb="FF00B0F0"/>
        <rFont val="Arial"/>
      </rPr>
      <t>*</t>
    </r>
    <r>
      <rPr>
        <b/>
        <sz val="11"/>
        <color rgb="FF000000"/>
        <rFont val="Arial"/>
      </rPr>
      <t>확인</t>
    </r>
  </si>
  <si>
    <r>
      <rPr>
        <b/>
        <sz val="11"/>
        <color rgb="FF00B0F0"/>
        <rFont val="Arial"/>
      </rPr>
      <t>*</t>
    </r>
    <r>
      <rPr>
        <b/>
        <sz val="11"/>
        <color rgb="FF000000"/>
        <rFont val="Arial"/>
      </rPr>
      <t>요청</t>
    </r>
  </si>
  <si>
    <r>
      <rPr>
        <b/>
        <sz val="11"/>
        <color theme="1"/>
        <rFont val="Malgun Gothic"/>
        <family val="3"/>
        <charset val="129"/>
      </rPr>
      <t xml:space="preserve">세부사업
</t>
    </r>
    <r>
      <rPr>
        <b/>
        <sz val="11"/>
        <color theme="1"/>
        <rFont val="맑은 고딕"/>
        <family val="3"/>
        <charset val="129"/>
      </rPr>
      <t>①
온쉼마을
프로젝트</t>
    </r>
  </si>
  <si>
    <t>진잠농협하나로마트분사</t>
  </si>
  <si>
    <t>다과비 영수증에서 분리(종이컵)</t>
  </si>
  <si>
    <t>김성환</t>
  </si>
  <si>
    <t>활동기록부 수정(활동내역 구체화)</t>
  </si>
  <si>
    <t xml:space="preserve">활동기록부 수정(활동내역 구체화) </t>
  </si>
  <si>
    <t>청양먹거리직매장 유성점</t>
  </si>
  <si>
    <t>(주)루히</t>
  </si>
  <si>
    <t>디자인스토리</t>
  </si>
  <si>
    <t>세부사업 
②</t>
  </si>
  <si>
    <t>견적서(거래명세서), 홍보물사진 누락(인쇄함 09/10)</t>
  </si>
  <si>
    <t>루히</t>
  </si>
  <si>
    <t>햇살농부밥상</t>
  </si>
  <si>
    <t>(주)대지</t>
  </si>
  <si>
    <t>주식회사 토동</t>
  </si>
  <si>
    <t>정림스토아 학하점</t>
  </si>
  <si>
    <t>봉추찜닭 신도안목원대점</t>
  </si>
  <si>
    <r>
      <rPr>
        <sz val="11"/>
        <color rgb="FFFF0000"/>
        <rFont val="Malgun Gothic"/>
        <family val="3"/>
        <charset val="129"/>
      </rPr>
      <t>배달료2000원 입금완료(보탬e 불인정처리완료)</t>
    </r>
    <r>
      <rPr>
        <sz val="11"/>
        <color theme="1"/>
        <rFont val="Malgun Gothic"/>
        <family val="3"/>
        <charset val="129"/>
      </rPr>
      <t>, 카드영수증누락(인쇄완료09/26)</t>
    </r>
  </si>
  <si>
    <t>메일요청(09.18)</t>
  </si>
  <si>
    <t>파리바게뜨(학하오투그란데점)</t>
  </si>
  <si>
    <t>GS25유성제일점</t>
  </si>
  <si>
    <t>거래명세서 누락</t>
  </si>
  <si>
    <t>전화요청(11.07.)</t>
  </si>
  <si>
    <t>참여인원수 정정(행사보고서와 참석자명부 불일치)</t>
  </si>
  <si>
    <t>영마트</t>
  </si>
  <si>
    <t>풍요닭집</t>
  </si>
  <si>
    <t>거래명세서(간이영수증 인쇄함 11.24), 요리사진 누락</t>
  </si>
  <si>
    <t>요리사진 누락(행사결과보고서 + 사진 인쇄함 11.24)</t>
  </si>
  <si>
    <t>바로그집한밭대점</t>
  </si>
  <si>
    <t>행사결과보고서 시간 수정(18:00~21:00)</t>
  </si>
  <si>
    <t>페리카나 학하계산점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</si>
</sst>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_-&quot;₩&quot;* #,##0_-;\-&quot;₩&quot;* #,##0_-;_-&quot;₩&quot;* &quot;-&quot;_-;_-@"/>
    <numFmt numFmtId="177" formatCode="_-* #,##0_-;\-* #,##0_-;_-* &quot;-&quot;_-;_-@"/>
    <numFmt numFmtId="178" formatCode="[Blue]&quot;(증)&quot;\ \ &quot;₩&quot;\ \ \ #,##0;[Red]&quot;(감)&quot;\ \ &quot;₩&quot;\ \ \ #,##0"/>
    <numFmt numFmtId="179" formatCode="0_);[Red]\(0\)"/>
    <numFmt numFmtId="180" formatCode="m&quot;월&quot;d&quot;일&quot;"/>
    <numFmt numFmtId="181" formatCode="yyyy\-mm\-dd"/>
  </numFmts>
  <fonts count="2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</font>
    <font>
      <sz val="11"/>
      <name val="Calibri"/>
    </font>
    <font>
      <b/>
      <sz val="11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22"/>
      <color theme="0"/>
      <name val="Malgun Gothic"/>
      <family val="3"/>
      <charset val="129"/>
    </font>
    <font>
      <b/>
      <u/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1"/>
      <color theme="1"/>
      <name val="Calibri"/>
    </font>
    <font>
      <b/>
      <sz val="11"/>
      <color theme="1"/>
      <name val="Dotum"/>
      <family val="3"/>
      <charset val="129"/>
    </font>
    <font>
      <b/>
      <sz val="11"/>
      <color rgb="FF00B0F0"/>
      <name val="Arial"/>
    </font>
    <font>
      <b/>
      <sz val="11"/>
      <color theme="1"/>
      <name val="Arial"/>
    </font>
    <font>
      <strike/>
      <sz val="11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b/>
      <u/>
      <sz val="10"/>
      <color theme="1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b/>
      <u/>
      <sz val="10"/>
      <color rgb="FFC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1"/>
      <color rgb="FF000000"/>
      <name val="Arial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vertical="center"/>
    </xf>
    <xf numFmtId="0" fontId="6" fillId="0" borderId="13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4" borderId="2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1" fillId="3" borderId="22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3" borderId="10" xfId="0" applyNumberFormat="1" applyFont="1" applyFill="1" applyBorder="1" applyAlignment="1">
      <alignment horizontal="center" vertical="center" wrapText="1"/>
    </xf>
    <xf numFmtId="178" fontId="1" fillId="3" borderId="23" xfId="0" applyNumberFormat="1" applyFont="1" applyFill="1" applyBorder="1" applyAlignment="1">
      <alignment horizontal="center" vertical="center" wrapText="1"/>
    </xf>
    <xf numFmtId="176" fontId="1" fillId="3" borderId="24" xfId="0" applyNumberFormat="1" applyFont="1" applyFill="1" applyBorder="1" applyAlignment="1">
      <alignment horizontal="center" vertical="center" wrapText="1"/>
    </xf>
    <xf numFmtId="176" fontId="1" fillId="0" borderId="25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9" fontId="1" fillId="3" borderId="27" xfId="0" applyNumberFormat="1" applyFont="1" applyFill="1" applyBorder="1" applyAlignment="1">
      <alignment horizontal="center" vertical="center" wrapText="1"/>
    </xf>
    <xf numFmtId="9" fontId="1" fillId="3" borderId="23" xfId="0" applyNumberFormat="1" applyFont="1" applyFill="1" applyBorder="1" applyAlignment="1">
      <alignment horizontal="center" vertical="center" wrapText="1"/>
    </xf>
    <xf numFmtId="176" fontId="1" fillId="3" borderId="28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9" fontId="1" fillId="3" borderId="29" xfId="0" applyNumberFormat="1" applyFont="1" applyFill="1" applyBorder="1" applyAlignment="1">
      <alignment horizontal="center" vertical="center" wrapText="1"/>
    </xf>
    <xf numFmtId="178" fontId="1" fillId="3" borderId="29" xfId="0" applyNumberFormat="1" applyFont="1" applyFill="1" applyBorder="1" applyAlignment="1">
      <alignment horizontal="center" vertical="center" wrapText="1"/>
    </xf>
    <xf numFmtId="176" fontId="1" fillId="3" borderId="30" xfId="0" applyNumberFormat="1" applyFont="1" applyFill="1" applyBorder="1" applyAlignment="1">
      <alignment horizontal="center" vertical="center" wrapText="1"/>
    </xf>
    <xf numFmtId="176" fontId="1" fillId="0" borderId="3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78" fontId="1" fillId="3" borderId="1" xfId="0" applyNumberFormat="1" applyFont="1" applyFill="1" applyBorder="1" applyAlignment="1">
      <alignment horizontal="center" vertical="center" wrapText="1"/>
    </xf>
    <xf numFmtId="176" fontId="1" fillId="0" borderId="11" xfId="0" applyNumberFormat="1" applyFont="1" applyBorder="1" applyAlignment="1">
      <alignment vertical="center"/>
    </xf>
    <xf numFmtId="176" fontId="1" fillId="3" borderId="23" xfId="0" applyNumberFormat="1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9" fontId="1" fillId="0" borderId="32" xfId="0" applyNumberFormat="1" applyFont="1" applyBorder="1" applyAlignment="1">
      <alignment horizontal="center" vertical="center"/>
    </xf>
    <xf numFmtId="176" fontId="1" fillId="3" borderId="33" xfId="0" applyNumberFormat="1" applyFont="1" applyFill="1" applyBorder="1" applyAlignment="1">
      <alignment horizontal="center" vertical="center" wrapText="1"/>
    </xf>
    <xf numFmtId="9" fontId="1" fillId="3" borderId="10" xfId="0" applyNumberFormat="1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9" fontId="1" fillId="3" borderId="37" xfId="0" applyNumberFormat="1" applyFont="1" applyFill="1" applyBorder="1" applyAlignment="1">
      <alignment horizontal="center" vertical="center" wrapText="1"/>
    </xf>
    <xf numFmtId="176" fontId="1" fillId="3" borderId="3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76" fontId="1" fillId="3" borderId="8" xfId="0" applyNumberFormat="1" applyFont="1" applyFill="1" applyBorder="1" applyAlignment="1">
      <alignment horizontal="center" vertical="center" wrapText="1"/>
    </xf>
    <xf numFmtId="178" fontId="1" fillId="3" borderId="20" xfId="0" applyNumberFormat="1" applyFont="1" applyFill="1" applyBorder="1" applyAlignment="1">
      <alignment horizontal="center" vertical="center" wrapText="1"/>
    </xf>
    <xf numFmtId="176" fontId="1" fillId="3" borderId="39" xfId="0" applyNumberFormat="1" applyFont="1" applyFill="1" applyBorder="1" applyAlignment="1">
      <alignment horizontal="center" vertical="center" wrapText="1"/>
    </xf>
    <xf numFmtId="176" fontId="1" fillId="0" borderId="9" xfId="0" applyNumberFormat="1" applyFont="1" applyBorder="1" applyAlignment="1">
      <alignment vertical="center"/>
    </xf>
    <xf numFmtId="0" fontId="11" fillId="0" borderId="4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176" fontId="4" fillId="4" borderId="8" xfId="0" applyNumberFormat="1" applyFont="1" applyFill="1" applyBorder="1" applyAlignment="1">
      <alignment horizontal="center" vertical="center" wrapText="1"/>
    </xf>
    <xf numFmtId="176" fontId="4" fillId="4" borderId="7" xfId="0" applyNumberFormat="1" applyFont="1" applyFill="1" applyBorder="1" applyAlignment="1">
      <alignment horizontal="center" vertical="center" wrapText="1"/>
    </xf>
    <xf numFmtId="176" fontId="4" fillId="4" borderId="9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6" fontId="1" fillId="6" borderId="46" xfId="0" applyNumberFormat="1" applyFont="1" applyFill="1" applyBorder="1" applyAlignment="1">
      <alignment vertical="center" wrapText="1"/>
    </xf>
    <xf numFmtId="178" fontId="1" fillId="6" borderId="46" xfId="0" applyNumberFormat="1" applyFont="1" applyFill="1" applyBorder="1" applyAlignment="1">
      <alignment horizontal="center" vertical="center" wrapText="1"/>
    </xf>
    <xf numFmtId="176" fontId="1" fillId="0" borderId="46" xfId="0" applyNumberFormat="1" applyFont="1" applyBorder="1" applyAlignment="1">
      <alignment horizontal="right" vertical="center" wrapText="1"/>
    </xf>
    <xf numFmtId="176" fontId="1" fillId="0" borderId="47" xfId="0" applyNumberFormat="1" applyFont="1" applyBorder="1" applyAlignment="1">
      <alignment horizontal="right" vertical="center" wrapText="1"/>
    </xf>
    <xf numFmtId="176" fontId="1" fillId="0" borderId="48" xfId="0" applyNumberFormat="1" applyFont="1" applyBorder="1" applyAlignment="1">
      <alignment vertical="center"/>
    </xf>
    <xf numFmtId="179" fontId="1" fillId="6" borderId="10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vertical="center" wrapText="1"/>
    </xf>
    <xf numFmtId="178" fontId="1" fillId="6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6" fontId="1" fillId="0" borderId="14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176" fontId="1" fillId="6" borderId="50" xfId="0" applyNumberFormat="1" applyFont="1" applyFill="1" applyBorder="1" applyAlignment="1">
      <alignment vertical="center" wrapText="1"/>
    </xf>
    <xf numFmtId="178" fontId="1" fillId="6" borderId="50" xfId="0" applyNumberFormat="1" applyFont="1" applyFill="1" applyBorder="1" applyAlignment="1">
      <alignment horizontal="center" vertical="center" wrapText="1"/>
    </xf>
    <xf numFmtId="176" fontId="1" fillId="0" borderId="50" xfId="0" applyNumberFormat="1" applyFont="1" applyBorder="1" applyAlignment="1">
      <alignment horizontal="right" vertical="center" wrapText="1"/>
    </xf>
    <xf numFmtId="176" fontId="1" fillId="0" borderId="52" xfId="0" applyNumberFormat="1" applyFont="1" applyBorder="1" applyAlignment="1">
      <alignment horizontal="right" vertical="center" wrapText="1"/>
    </xf>
    <xf numFmtId="176" fontId="1" fillId="0" borderId="53" xfId="0" applyNumberFormat="1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176" fontId="1" fillId="6" borderId="56" xfId="0" applyNumberFormat="1" applyFont="1" applyFill="1" applyBorder="1" applyAlignment="1">
      <alignment vertical="center" wrapText="1"/>
    </xf>
    <xf numFmtId="178" fontId="1" fillId="6" borderId="10" xfId="0" applyNumberFormat="1" applyFont="1" applyFill="1" applyBorder="1" applyAlignment="1">
      <alignment horizontal="center" vertical="center" wrapText="1"/>
    </xf>
    <xf numFmtId="176" fontId="1" fillId="0" borderId="32" xfId="0" applyNumberFormat="1" applyFont="1" applyBorder="1" applyAlignment="1">
      <alignment horizontal="right" vertical="center" wrapText="1"/>
    </xf>
    <xf numFmtId="176" fontId="1" fillId="0" borderId="57" xfId="0" applyNumberFormat="1" applyFont="1" applyBorder="1" applyAlignment="1">
      <alignment horizontal="right" vertical="center" wrapText="1"/>
    </xf>
    <xf numFmtId="0" fontId="11" fillId="0" borderId="5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178" fontId="1" fillId="6" borderId="59" xfId="0" applyNumberFormat="1" applyFont="1" applyFill="1" applyBorder="1" applyAlignment="1">
      <alignment horizontal="center" vertical="center" wrapText="1"/>
    </xf>
    <xf numFmtId="176" fontId="4" fillId="4" borderId="59" xfId="0" applyNumberFormat="1" applyFont="1" applyFill="1" applyBorder="1" applyAlignment="1">
      <alignment horizontal="center" vertical="center" wrapText="1"/>
    </xf>
    <xf numFmtId="176" fontId="4" fillId="4" borderId="6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9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9" fontId="1" fillId="0" borderId="0" xfId="0" applyNumberFormat="1" applyFont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80" fontId="1" fillId="0" borderId="0" xfId="0" applyNumberFormat="1" applyFont="1" applyAlignment="1">
      <alignment vertical="center"/>
    </xf>
    <xf numFmtId="0" fontId="14" fillId="6" borderId="10" xfId="0" applyFont="1" applyFill="1" applyBorder="1" applyAlignment="1">
      <alignment horizontal="center" vertical="center"/>
    </xf>
    <xf numFmtId="179" fontId="1" fillId="6" borderId="10" xfId="0" applyNumberFormat="1" applyFont="1" applyFill="1" applyBorder="1" applyAlignment="1">
      <alignment horizontal="center" vertical="center"/>
    </xf>
    <xf numFmtId="181" fontId="1" fillId="6" borderId="1" xfId="0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1" fillId="6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5" fillId="2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176" fontId="4" fillId="6" borderId="14" xfId="0" applyNumberFormat="1" applyFont="1" applyFill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5" fillId="2" borderId="43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vertical="center"/>
    </xf>
    <xf numFmtId="0" fontId="4" fillId="0" borderId="21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4" fillId="0" borderId="45" xfId="0" applyFont="1" applyBorder="1" applyAlignment="1">
      <alignment horizontal="center" vertical="center" wrapText="1"/>
    </xf>
    <xf numFmtId="0" fontId="3" fillId="0" borderId="34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4" fillId="0" borderId="54" xfId="0" applyFont="1" applyBorder="1" applyAlignment="1">
      <alignment horizontal="center" vertical="center" wrapText="1"/>
    </xf>
    <xf numFmtId="0" fontId="3" fillId="0" borderId="54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4" fillId="0" borderId="55" xfId="0" applyFont="1" applyBorder="1" applyAlignment="1">
      <alignment horizontal="center" vertical="center" wrapText="1"/>
    </xf>
    <xf numFmtId="0" fontId="3" fillId="0" borderId="55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4" fillId="4" borderId="60" xfId="0" applyFont="1" applyFill="1" applyBorder="1" applyAlignment="1">
      <alignment horizontal="center" vertical="center" wrapText="1"/>
    </xf>
    <xf numFmtId="0" fontId="3" fillId="0" borderId="61" xfId="0" applyFont="1" applyBorder="1" applyAlignment="1">
      <alignment vertical="center"/>
    </xf>
    <xf numFmtId="0" fontId="3" fillId="0" borderId="62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4" fillId="4" borderId="41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vertical="center"/>
    </xf>
    <xf numFmtId="0" fontId="3" fillId="0" borderId="42" xfId="0" applyFont="1" applyBorder="1" applyAlignment="1">
      <alignment vertical="center"/>
    </xf>
  </cellXfs>
  <cellStyles count="1">
    <cellStyle name="표준" xfId="0" builtinId="0"/>
  </cellStyles>
  <dxfs count="104">
    <dxf>
      <font>
        <color rgb="FFFF0000"/>
      </font>
      <fill>
        <patternFill patternType="solid">
          <fgColor rgb="FFFBE4D5"/>
          <bgColor rgb="FFFBE4D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1</xdr:row>
      <xdr:rowOff>66675</xdr:rowOff>
    </xdr:from>
    <xdr:ext cx="561975" cy="561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7" workbookViewId="0">
      <selection activeCell="M21" sqref="M21"/>
    </sheetView>
  </sheetViews>
  <sheetFormatPr defaultColWidth="14.42578125" defaultRowHeight="15" customHeight="1"/>
  <cols>
    <col min="1" max="1" width="2.85546875" customWidth="1"/>
    <col min="2" max="2" width="15.5703125" customWidth="1"/>
    <col min="3" max="3" width="17.42578125" customWidth="1"/>
    <col min="4" max="4" width="16" customWidth="1"/>
    <col min="5" max="5" width="15.5703125" customWidth="1"/>
    <col min="6" max="6" width="17.42578125" customWidth="1"/>
    <col min="7" max="7" width="15.5703125" customWidth="1"/>
    <col min="8" max="8" width="17.7109375" customWidth="1"/>
    <col min="9" max="13" width="15.5703125" customWidth="1"/>
    <col min="14" max="14" width="16.85546875" customWidth="1"/>
    <col min="15" max="15" width="28.28515625" customWidth="1"/>
    <col min="16" max="17" width="15.5703125" customWidth="1"/>
    <col min="18" max="18" width="82.140625" customWidth="1"/>
    <col min="19" max="19" width="15.7109375" customWidth="1"/>
    <col min="20" max="20" width="15.85546875" customWidth="1"/>
    <col min="21" max="26" width="8.7109375" customWidth="1"/>
  </cols>
  <sheetData>
    <row r="1" spans="1:26" ht="16.5" customHeight="1">
      <c r="A1" s="1"/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</row>
    <row r="2" spans="1:26" ht="54.75" customHeight="1">
      <c r="A2" s="1"/>
      <c r="B2" s="4"/>
      <c r="C2" s="128" t="s">
        <v>2</v>
      </c>
      <c r="D2" s="123"/>
      <c r="E2" s="123"/>
      <c r="F2" s="123"/>
      <c r="G2" s="123"/>
      <c r="H2" s="124"/>
      <c r="I2" s="1"/>
      <c r="J2" s="1"/>
      <c r="K2" s="11"/>
      <c r="L2" s="1"/>
      <c r="M2" s="1"/>
      <c r="N2" s="1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</row>
    <row r="3" spans="1:26" ht="48" customHeight="1">
      <c r="A3" s="1"/>
      <c r="B3" s="129" t="s">
        <v>39</v>
      </c>
      <c r="C3" s="126"/>
      <c r="D3" s="126"/>
      <c r="E3" s="126"/>
      <c r="F3" s="126"/>
      <c r="G3" s="126"/>
      <c r="H3" s="2"/>
      <c r="I3" s="1"/>
      <c r="J3" s="1"/>
      <c r="K3" s="11"/>
      <c r="L3" s="1"/>
      <c r="M3" s="1"/>
      <c r="N3" s="1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</row>
    <row r="4" spans="1:26" ht="19.5" customHeight="1">
      <c r="A4" s="1"/>
      <c r="B4" s="12" t="s">
        <v>3</v>
      </c>
      <c r="C4" s="13" t="s">
        <v>4</v>
      </c>
      <c r="D4" s="14"/>
      <c r="E4" s="14"/>
      <c r="F4" s="14"/>
      <c r="G4" s="14"/>
      <c r="H4" s="2"/>
      <c r="I4" s="1"/>
      <c r="J4" s="1"/>
      <c r="K4" s="11"/>
      <c r="L4" s="1"/>
      <c r="M4" s="1"/>
      <c r="N4" s="1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</row>
    <row r="5" spans="1:26" ht="24.75" customHeight="1">
      <c r="A5" s="1"/>
      <c r="B5" s="15" t="s">
        <v>40</v>
      </c>
      <c r="C5" s="16" t="s">
        <v>0</v>
      </c>
      <c r="D5" s="15" t="s">
        <v>41</v>
      </c>
      <c r="E5" s="16" t="s">
        <v>1</v>
      </c>
      <c r="F5" s="15" t="s">
        <v>42</v>
      </c>
      <c r="G5" s="16" t="s">
        <v>43</v>
      </c>
      <c r="H5" s="2"/>
      <c r="I5" s="1"/>
      <c r="J5" s="2"/>
      <c r="K5" s="11"/>
      <c r="L5" s="1"/>
      <c r="M5" s="1"/>
      <c r="N5" s="1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</row>
    <row r="6" spans="1:26" ht="24.75" customHeight="1">
      <c r="A6" s="1"/>
      <c r="B6" s="15" t="s">
        <v>44</v>
      </c>
      <c r="C6" s="130"/>
      <c r="D6" s="131"/>
      <c r="E6" s="15" t="s">
        <v>45</v>
      </c>
      <c r="F6" s="130"/>
      <c r="G6" s="13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"/>
      <c r="V6" s="1"/>
      <c r="W6" s="1"/>
      <c r="X6" s="1"/>
      <c r="Y6" s="1"/>
      <c r="Z6" s="1"/>
    </row>
    <row r="7" spans="1:26" ht="15" customHeight="1">
      <c r="A7" s="1"/>
      <c r="B7" s="17"/>
      <c r="C7" s="125"/>
      <c r="D7" s="126"/>
      <c r="E7" s="5"/>
      <c r="F7" s="125"/>
      <c r="G7" s="126"/>
      <c r="H7" s="6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2"/>
      <c r="V7" s="1"/>
      <c r="W7" s="1"/>
      <c r="X7" s="1"/>
      <c r="Y7" s="1"/>
      <c r="Z7" s="1"/>
    </row>
    <row r="8" spans="1:26" ht="19.5" customHeight="1">
      <c r="A8" s="1"/>
      <c r="B8" s="132" t="s">
        <v>5</v>
      </c>
      <c r="C8" s="133"/>
      <c r="D8" s="13" t="s">
        <v>4</v>
      </c>
      <c r="E8" s="18"/>
      <c r="F8" s="19"/>
      <c r="G8" s="19"/>
      <c r="H8" s="6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2"/>
      <c r="V8" s="1"/>
      <c r="W8" s="1"/>
      <c r="X8" s="1"/>
      <c r="Y8" s="1"/>
      <c r="Z8" s="1"/>
    </row>
    <row r="9" spans="1:26" ht="24.75" customHeight="1">
      <c r="A9" s="1"/>
      <c r="B9" s="15" t="s">
        <v>46</v>
      </c>
      <c r="C9" s="134">
        <v>3000000</v>
      </c>
      <c r="D9" s="131"/>
      <c r="E9" s="15" t="s">
        <v>47</v>
      </c>
      <c r="F9" s="135">
        <f>SUM(P30:P209)</f>
        <v>2931010</v>
      </c>
      <c r="G9" s="131"/>
      <c r="H9" s="20"/>
      <c r="I9" s="136"/>
      <c r="J9" s="127"/>
      <c r="K9" s="1"/>
      <c r="L9" s="1"/>
      <c r="M9" s="1"/>
      <c r="N9" s="1"/>
      <c r="O9" s="1"/>
      <c r="P9" s="1"/>
      <c r="Q9" s="1"/>
      <c r="R9" s="1"/>
      <c r="S9" s="1"/>
      <c r="T9" s="1"/>
      <c r="U9" s="2"/>
      <c r="V9" s="1"/>
      <c r="W9" s="1"/>
      <c r="X9" s="1"/>
      <c r="Y9" s="1"/>
      <c r="Z9" s="1"/>
    </row>
    <row r="10" spans="1:26" ht="24.75" customHeight="1">
      <c r="A10" s="1"/>
      <c r="B10" s="15" t="s">
        <v>48</v>
      </c>
      <c r="C10" s="135">
        <f>C9-F9</f>
        <v>68990</v>
      </c>
      <c r="D10" s="131"/>
      <c r="E10" s="15" t="s">
        <v>49</v>
      </c>
      <c r="F10" s="137">
        <f>F9/C9</f>
        <v>0.97700333333333333</v>
      </c>
      <c r="G10" s="131"/>
      <c r="H10" s="22"/>
      <c r="I10" s="21"/>
      <c r="J10" s="21"/>
      <c r="K10" s="1"/>
      <c r="L10" s="1"/>
      <c r="M10" s="1"/>
      <c r="N10" s="1"/>
      <c r="O10" s="1"/>
      <c r="P10" s="1"/>
      <c r="Q10" s="1"/>
      <c r="R10" s="1"/>
      <c r="S10" s="1"/>
      <c r="T10" s="1"/>
      <c r="U10" s="2"/>
      <c r="V10" s="1"/>
      <c r="W10" s="1"/>
      <c r="X10" s="1"/>
      <c r="Y10" s="1"/>
      <c r="Z10" s="1"/>
    </row>
    <row r="11" spans="1:26" ht="15" customHeight="1">
      <c r="A11" s="1"/>
      <c r="B11" s="5"/>
      <c r="C11" s="125"/>
      <c r="D11" s="126"/>
      <c r="E11" s="5"/>
      <c r="F11" s="125"/>
      <c r="G11" s="126"/>
      <c r="H11" s="6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1"/>
      <c r="W11" s="1"/>
      <c r="X11" s="1"/>
      <c r="Y11" s="1"/>
      <c r="Z11" s="1"/>
    </row>
    <row r="12" spans="1:26" ht="21.75" customHeight="1">
      <c r="A12" s="1"/>
      <c r="B12" s="132" t="s">
        <v>6</v>
      </c>
      <c r="C12" s="133"/>
      <c r="D12" s="158" t="s">
        <v>7</v>
      </c>
      <c r="E12" s="139"/>
      <c r="F12" s="14"/>
      <c r="G12" s="14"/>
      <c r="H12" s="2"/>
      <c r="I12" s="1"/>
      <c r="J12" s="1"/>
      <c r="K12" s="11"/>
      <c r="L12" s="1"/>
      <c r="M12" s="1"/>
      <c r="N12" s="1"/>
      <c r="O12" s="1"/>
      <c r="P12" s="1"/>
      <c r="Q12" s="1"/>
      <c r="R12" s="1"/>
      <c r="S12" s="1"/>
      <c r="T12" s="1"/>
      <c r="U12" s="2"/>
      <c r="V12" s="1"/>
      <c r="W12" s="1"/>
      <c r="X12" s="1"/>
      <c r="Y12" s="1"/>
      <c r="Z12" s="1"/>
    </row>
    <row r="13" spans="1:26" ht="35.25" customHeight="1">
      <c r="A13" s="1"/>
      <c r="B13" s="7" t="s">
        <v>8</v>
      </c>
      <c r="C13" s="8" t="s">
        <v>9</v>
      </c>
      <c r="D13" s="8" t="s">
        <v>10</v>
      </c>
      <c r="E13" s="8" t="s">
        <v>11</v>
      </c>
      <c r="F13" s="8" t="s">
        <v>50</v>
      </c>
      <c r="G13" s="23" t="s">
        <v>51</v>
      </c>
      <c r="H13" s="7" t="s">
        <v>52</v>
      </c>
      <c r="I13" s="8" t="s">
        <v>53</v>
      </c>
      <c r="J13" s="9" t="s">
        <v>54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1"/>
      <c r="W13" s="1"/>
      <c r="X13" s="1"/>
      <c r="Y13" s="1"/>
      <c r="Z13" s="1"/>
    </row>
    <row r="14" spans="1:26" ht="15.75" customHeight="1">
      <c r="A14" s="1"/>
      <c r="B14" s="159" t="s">
        <v>12</v>
      </c>
      <c r="C14" s="24" t="s">
        <v>13</v>
      </c>
      <c r="D14" s="25">
        <f>IF(C14="활동비",20%)</f>
        <v>0.2</v>
      </c>
      <c r="E14" s="26">
        <f>$C$9*D14</f>
        <v>600000</v>
      </c>
      <c r="F14" s="27">
        <f t="shared" ref="F14:F25" si="0">SUMIF($D$31:$D$63,C14,$E$31:$E$63)</f>
        <v>600000</v>
      </c>
      <c r="G14" s="28">
        <f t="shared" ref="G14:G25" si="1">SUMIF($D$32:$D$63,C14,$F$31:$F$63)</f>
        <v>0</v>
      </c>
      <c r="H14" s="29">
        <f t="shared" ref="H14:H25" si="2">F14+G14</f>
        <v>600000</v>
      </c>
      <c r="I14" s="27">
        <f t="shared" ref="I14:I25" si="3">SUMIF($D$31:$D$63,C14,$H$31:$H$63)</f>
        <v>600000</v>
      </c>
      <c r="J14" s="30">
        <f t="shared" ref="J14:J25" si="4">H14-I14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1"/>
      <c r="W14" s="1"/>
      <c r="X14" s="1"/>
      <c r="Y14" s="1"/>
      <c r="Z14" s="1"/>
    </row>
    <row r="15" spans="1:26" ht="15.75" customHeight="1">
      <c r="A15" s="1"/>
      <c r="B15" s="143"/>
      <c r="C15" s="31" t="s">
        <v>14</v>
      </c>
      <c r="D15" s="32"/>
      <c r="E15" s="33"/>
      <c r="F15" s="27">
        <f t="shared" si="0"/>
        <v>100000</v>
      </c>
      <c r="G15" s="28">
        <f t="shared" si="1"/>
        <v>0</v>
      </c>
      <c r="H15" s="34">
        <f t="shared" si="2"/>
        <v>100000</v>
      </c>
      <c r="I15" s="27">
        <f t="shared" si="3"/>
        <v>99800</v>
      </c>
      <c r="J15" s="30">
        <f t="shared" si="4"/>
        <v>200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1"/>
      <c r="W15" s="1"/>
      <c r="X15" s="1"/>
      <c r="Y15" s="1"/>
      <c r="Z15" s="1"/>
    </row>
    <row r="16" spans="1:26" ht="15.75" customHeight="1">
      <c r="A16" s="1"/>
      <c r="B16" s="143"/>
      <c r="C16" s="31" t="s">
        <v>15</v>
      </c>
      <c r="D16" s="35"/>
      <c r="E16" s="36"/>
      <c r="F16" s="27">
        <f t="shared" si="0"/>
        <v>1400000</v>
      </c>
      <c r="G16" s="37">
        <f t="shared" si="1"/>
        <v>0</v>
      </c>
      <c r="H16" s="38">
        <f t="shared" si="2"/>
        <v>1400000</v>
      </c>
      <c r="I16" s="27">
        <f t="shared" si="3"/>
        <v>1349470</v>
      </c>
      <c r="J16" s="39">
        <f t="shared" si="4"/>
        <v>50530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1"/>
      <c r="W16" s="1"/>
      <c r="X16" s="1"/>
      <c r="Y16" s="1"/>
      <c r="Z16" s="1"/>
    </row>
    <row r="17" spans="1:26" ht="15.75" customHeight="1">
      <c r="A17" s="1"/>
      <c r="B17" s="143"/>
      <c r="C17" s="31" t="s">
        <v>16</v>
      </c>
      <c r="D17" s="40"/>
      <c r="E17" s="26"/>
      <c r="F17" s="27">
        <f t="shared" si="0"/>
        <v>0</v>
      </c>
      <c r="G17" s="41">
        <f t="shared" si="1"/>
        <v>0</v>
      </c>
      <c r="H17" s="26">
        <f t="shared" si="2"/>
        <v>0</v>
      </c>
      <c r="I17" s="27">
        <f t="shared" si="3"/>
        <v>0</v>
      </c>
      <c r="J17" s="42">
        <f t="shared" si="4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1"/>
      <c r="W17" s="1"/>
      <c r="X17" s="1"/>
      <c r="Y17" s="1"/>
      <c r="Z17" s="1"/>
    </row>
    <row r="18" spans="1:26" ht="15.75" customHeight="1">
      <c r="A18" s="1"/>
      <c r="B18" s="143"/>
      <c r="C18" s="24" t="s">
        <v>17</v>
      </c>
      <c r="D18" s="35">
        <v>0.3</v>
      </c>
      <c r="E18" s="43">
        <f t="shared" ref="E18:E19" si="5">$C$9*D18</f>
        <v>900000</v>
      </c>
      <c r="F18" s="27">
        <f t="shared" si="0"/>
        <v>900000</v>
      </c>
      <c r="G18" s="28">
        <f t="shared" si="1"/>
        <v>0</v>
      </c>
      <c r="H18" s="29">
        <f t="shared" si="2"/>
        <v>900000</v>
      </c>
      <c r="I18" s="27">
        <f t="shared" si="3"/>
        <v>881740</v>
      </c>
      <c r="J18" s="30">
        <f t="shared" si="4"/>
        <v>18260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1"/>
      <c r="W18" s="1"/>
      <c r="X18" s="1"/>
      <c r="Y18" s="1"/>
      <c r="Z18" s="1"/>
    </row>
    <row r="19" spans="1:26" ht="15.75" customHeight="1">
      <c r="A19" s="1"/>
      <c r="B19" s="143"/>
      <c r="C19" s="44" t="s">
        <v>18</v>
      </c>
      <c r="D19" s="45">
        <f>IF(C19="회의비",20%)</f>
        <v>0.2</v>
      </c>
      <c r="E19" s="46">
        <f t="shared" si="5"/>
        <v>600000</v>
      </c>
      <c r="F19" s="27">
        <f t="shared" si="0"/>
        <v>0</v>
      </c>
      <c r="G19" s="28">
        <f t="shared" si="1"/>
        <v>0</v>
      </c>
      <c r="H19" s="34">
        <f t="shared" si="2"/>
        <v>0</v>
      </c>
      <c r="I19" s="27">
        <f t="shared" si="3"/>
        <v>0</v>
      </c>
      <c r="J19" s="30">
        <f t="shared" si="4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2"/>
      <c r="V19" s="1"/>
      <c r="W19" s="1"/>
      <c r="X19" s="1"/>
      <c r="Y19" s="1"/>
      <c r="Z19" s="1"/>
    </row>
    <row r="20" spans="1:26" ht="15.75" customHeight="1">
      <c r="A20" s="1"/>
      <c r="B20" s="143"/>
      <c r="C20" s="31" t="s">
        <v>19</v>
      </c>
      <c r="D20" s="47"/>
      <c r="E20" s="33"/>
      <c r="F20" s="27">
        <f t="shared" si="0"/>
        <v>0</v>
      </c>
      <c r="G20" s="28">
        <f t="shared" si="1"/>
        <v>0</v>
      </c>
      <c r="H20" s="34">
        <f t="shared" si="2"/>
        <v>0</v>
      </c>
      <c r="I20" s="27">
        <f t="shared" si="3"/>
        <v>0</v>
      </c>
      <c r="J20" s="30">
        <f t="shared" si="4"/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2"/>
      <c r="V20" s="1"/>
      <c r="W20" s="1"/>
      <c r="X20" s="1"/>
      <c r="Y20" s="1"/>
      <c r="Z20" s="1"/>
    </row>
    <row r="21" spans="1:26" ht="15.75" customHeight="1">
      <c r="A21" s="1"/>
      <c r="B21" s="143"/>
      <c r="C21" s="48" t="s">
        <v>20</v>
      </c>
      <c r="D21" s="47"/>
      <c r="E21" s="33"/>
      <c r="F21" s="27">
        <f t="shared" si="0"/>
        <v>0</v>
      </c>
      <c r="G21" s="28">
        <f t="shared" si="1"/>
        <v>0</v>
      </c>
      <c r="H21" s="34">
        <f t="shared" si="2"/>
        <v>0</v>
      </c>
      <c r="I21" s="27">
        <f t="shared" si="3"/>
        <v>0</v>
      </c>
      <c r="J21" s="30">
        <f t="shared" si="4"/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2"/>
      <c r="V21" s="1"/>
      <c r="W21" s="1"/>
      <c r="X21" s="1"/>
      <c r="Y21" s="1"/>
      <c r="Z21" s="1"/>
    </row>
    <row r="22" spans="1:26" ht="15.75" customHeight="1">
      <c r="A22" s="1"/>
      <c r="B22" s="143"/>
      <c r="C22" s="49" t="s">
        <v>21</v>
      </c>
      <c r="D22" s="50">
        <f>IF(C22="공연비",10%)</f>
        <v>0.1</v>
      </c>
      <c r="E22" s="46">
        <f>$C$9*D22</f>
        <v>300000</v>
      </c>
      <c r="F22" s="27">
        <f t="shared" si="0"/>
        <v>0</v>
      </c>
      <c r="G22" s="28">
        <f t="shared" si="1"/>
        <v>0</v>
      </c>
      <c r="H22" s="34">
        <f t="shared" si="2"/>
        <v>0</v>
      </c>
      <c r="I22" s="27">
        <f t="shared" si="3"/>
        <v>0</v>
      </c>
      <c r="J22" s="30">
        <f t="shared" si="4"/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2"/>
      <c r="V22" s="1"/>
      <c r="W22" s="1"/>
      <c r="X22" s="1"/>
      <c r="Y22" s="1"/>
      <c r="Z22" s="1"/>
    </row>
    <row r="23" spans="1:26" ht="15.75" customHeight="1">
      <c r="A23" s="1"/>
      <c r="B23" s="160"/>
      <c r="C23" s="51" t="s">
        <v>22</v>
      </c>
      <c r="D23" s="52"/>
      <c r="E23" s="36"/>
      <c r="F23" s="53">
        <f t="shared" si="0"/>
        <v>0</v>
      </c>
      <c r="G23" s="37">
        <f t="shared" si="1"/>
        <v>0</v>
      </c>
      <c r="H23" s="38">
        <f t="shared" si="2"/>
        <v>0</v>
      </c>
      <c r="I23" s="53">
        <f t="shared" si="3"/>
        <v>0</v>
      </c>
      <c r="J23" s="39">
        <f t="shared" si="4"/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2"/>
      <c r="V23" s="1"/>
      <c r="W23" s="1"/>
      <c r="X23" s="1"/>
      <c r="Y23" s="1"/>
      <c r="Z23" s="1"/>
    </row>
    <row r="24" spans="1:26" ht="18" customHeight="1">
      <c r="A24" s="1"/>
      <c r="B24" s="54" t="s">
        <v>23</v>
      </c>
      <c r="C24" s="55" t="s">
        <v>24</v>
      </c>
      <c r="D24" s="56"/>
      <c r="E24" s="56"/>
      <c r="F24" s="57">
        <f t="shared" si="0"/>
        <v>0</v>
      </c>
      <c r="G24" s="58">
        <f t="shared" si="1"/>
        <v>0</v>
      </c>
      <c r="H24" s="59">
        <f t="shared" si="2"/>
        <v>0</v>
      </c>
      <c r="I24" s="57">
        <f t="shared" si="3"/>
        <v>0</v>
      </c>
      <c r="J24" s="60">
        <f t="shared" si="4"/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2"/>
      <c r="V24" s="1"/>
      <c r="W24" s="1"/>
      <c r="X24" s="1"/>
      <c r="Y24" s="1"/>
      <c r="Z24" s="1"/>
    </row>
    <row r="25" spans="1:26" ht="18" customHeight="1">
      <c r="A25" s="1"/>
      <c r="B25" s="61" t="s">
        <v>25</v>
      </c>
      <c r="C25" s="62" t="s">
        <v>26</v>
      </c>
      <c r="D25" s="47"/>
      <c r="E25" s="33"/>
      <c r="F25" s="27">
        <f t="shared" si="0"/>
        <v>0</v>
      </c>
      <c r="G25" s="28">
        <f t="shared" si="1"/>
        <v>0</v>
      </c>
      <c r="H25" s="29">
        <f t="shared" si="2"/>
        <v>0</v>
      </c>
      <c r="I25" s="27">
        <f t="shared" si="3"/>
        <v>0</v>
      </c>
      <c r="J25" s="30">
        <f t="shared" si="4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2"/>
      <c r="V25" s="1"/>
      <c r="W25" s="1"/>
      <c r="X25" s="1"/>
      <c r="Y25" s="1"/>
      <c r="Z25" s="1"/>
    </row>
    <row r="26" spans="1:26" ht="24" customHeight="1">
      <c r="A26" s="1"/>
      <c r="B26" s="161" t="s">
        <v>27</v>
      </c>
      <c r="C26" s="162"/>
      <c r="D26" s="162"/>
      <c r="E26" s="163"/>
      <c r="F26" s="63">
        <f t="shared" ref="F26:J26" si="6">SUM(F14:F25)</f>
        <v>3000000</v>
      </c>
      <c r="G26" s="63">
        <f t="shared" si="6"/>
        <v>0</v>
      </c>
      <c r="H26" s="64">
        <f t="shared" si="6"/>
        <v>3000000</v>
      </c>
      <c r="I26" s="63">
        <f t="shared" si="6"/>
        <v>2931010</v>
      </c>
      <c r="J26" s="65">
        <f t="shared" si="6"/>
        <v>68990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2"/>
      <c r="V26" s="1"/>
      <c r="W26" s="1"/>
      <c r="X26" s="1"/>
      <c r="Y26" s="1"/>
      <c r="Z26" s="1"/>
    </row>
    <row r="27" spans="1:26" ht="15" customHeight="1">
      <c r="A27" s="1"/>
      <c r="B27" s="5"/>
      <c r="C27" s="125"/>
      <c r="D27" s="126"/>
      <c r="E27" s="5"/>
      <c r="F27" s="125"/>
      <c r="G27" s="126"/>
      <c r="H27" s="6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2"/>
      <c r="V27" s="1"/>
      <c r="W27" s="1"/>
      <c r="X27" s="1"/>
      <c r="Y27" s="1"/>
      <c r="Z27" s="1"/>
    </row>
    <row r="28" spans="1:26" ht="15" customHeight="1">
      <c r="A28" s="1"/>
      <c r="B28" s="20"/>
      <c r="C28" s="2"/>
      <c r="D28" s="2"/>
      <c r="E28" s="20"/>
      <c r="F28" s="2"/>
      <c r="G28" s="2"/>
      <c r="H28" s="6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2"/>
      <c r="V28" s="1"/>
      <c r="W28" s="1"/>
      <c r="X28" s="1"/>
      <c r="Y28" s="1"/>
      <c r="Z28" s="1"/>
    </row>
    <row r="29" spans="1:26" ht="32.25" customHeight="1">
      <c r="A29" s="1"/>
      <c r="B29" s="132" t="s">
        <v>28</v>
      </c>
      <c r="C29" s="133"/>
      <c r="D29" s="138" t="s">
        <v>55</v>
      </c>
      <c r="E29" s="139"/>
      <c r="F29" s="139"/>
      <c r="G29" s="139"/>
      <c r="H29" s="139"/>
      <c r="I29" s="139"/>
      <c r="J29" s="1"/>
      <c r="K29" s="140" t="s">
        <v>29</v>
      </c>
      <c r="L29" s="141"/>
      <c r="M29" s="13" t="s">
        <v>4</v>
      </c>
      <c r="N29" s="1"/>
      <c r="O29" s="1"/>
      <c r="P29" s="66"/>
      <c r="Q29" s="1"/>
      <c r="R29" s="1"/>
      <c r="S29" s="1"/>
      <c r="T29" s="1"/>
      <c r="U29" s="2"/>
      <c r="V29" s="1"/>
      <c r="W29" s="1"/>
      <c r="X29" s="1"/>
      <c r="Y29" s="1"/>
      <c r="Z29" s="1"/>
    </row>
    <row r="30" spans="1:26" ht="37.5" customHeight="1">
      <c r="A30" s="1"/>
      <c r="B30" s="7" t="s">
        <v>8</v>
      </c>
      <c r="C30" s="8" t="s">
        <v>9</v>
      </c>
      <c r="D30" s="8" t="s">
        <v>10</v>
      </c>
      <c r="E30" s="8" t="s">
        <v>56</v>
      </c>
      <c r="F30" s="8" t="s">
        <v>57</v>
      </c>
      <c r="G30" s="8" t="s">
        <v>58</v>
      </c>
      <c r="H30" s="8" t="s">
        <v>59</v>
      </c>
      <c r="I30" s="9" t="s">
        <v>60</v>
      </c>
      <c r="J30" s="1"/>
      <c r="K30" s="67" t="s">
        <v>61</v>
      </c>
      <c r="L30" s="68" t="s">
        <v>62</v>
      </c>
      <c r="M30" s="68" t="s">
        <v>63</v>
      </c>
      <c r="N30" s="69" t="s">
        <v>64</v>
      </c>
      <c r="O30" s="68" t="s">
        <v>65</v>
      </c>
      <c r="P30" s="68" t="s">
        <v>66</v>
      </c>
      <c r="Q30" s="68" t="s">
        <v>67</v>
      </c>
      <c r="R30" s="70" t="s">
        <v>68</v>
      </c>
      <c r="S30" s="71" t="s">
        <v>69</v>
      </c>
      <c r="T30" s="115" t="s">
        <v>70</v>
      </c>
      <c r="U30" s="72" t="s">
        <v>30</v>
      </c>
      <c r="V30" s="1"/>
      <c r="W30" s="1"/>
      <c r="X30" s="1"/>
      <c r="Y30" s="1"/>
      <c r="Z30" s="1"/>
    </row>
    <row r="31" spans="1:26" ht="15" customHeight="1">
      <c r="A31" s="1"/>
      <c r="B31" s="142" t="s">
        <v>71</v>
      </c>
      <c r="C31" s="145" t="s">
        <v>12</v>
      </c>
      <c r="D31" s="73" t="s">
        <v>13</v>
      </c>
      <c r="E31" s="74">
        <v>600000</v>
      </c>
      <c r="F31" s="75"/>
      <c r="G31" s="76">
        <f t="shared" ref="G31:G64" si="7">E31+F31</f>
        <v>600000</v>
      </c>
      <c r="H31" s="77">
        <f t="shared" ref="H31:H41" si="8">SUMIFS(P:P,M:M,"세부사업 1",N:N,D31)</f>
        <v>600000</v>
      </c>
      <c r="I31" s="78">
        <f t="shared" ref="I31:I63" si="9">G31-H31</f>
        <v>0</v>
      </c>
      <c r="J31" s="1"/>
      <c r="K31" s="79">
        <v>1</v>
      </c>
      <c r="L31" s="80">
        <v>20250618</v>
      </c>
      <c r="M31" s="80" t="s">
        <v>31</v>
      </c>
      <c r="N31" s="80" t="s">
        <v>15</v>
      </c>
      <c r="O31" s="80" t="s">
        <v>36</v>
      </c>
      <c r="P31" s="81">
        <v>16800</v>
      </c>
      <c r="Q31" s="80" t="s">
        <v>32</v>
      </c>
      <c r="R31" s="16"/>
      <c r="S31" s="116" t="s">
        <v>33</v>
      </c>
      <c r="T31" s="1"/>
      <c r="U31" s="83" t="s">
        <v>34</v>
      </c>
      <c r="V31" s="1"/>
      <c r="W31" s="1"/>
      <c r="X31" s="1"/>
      <c r="Y31" s="1"/>
      <c r="Z31" s="1"/>
    </row>
    <row r="32" spans="1:26" ht="15" customHeight="1">
      <c r="A32" s="1"/>
      <c r="B32" s="143"/>
      <c r="C32" s="146"/>
      <c r="D32" s="84" t="s">
        <v>14</v>
      </c>
      <c r="E32" s="85">
        <v>100000</v>
      </c>
      <c r="F32" s="86"/>
      <c r="G32" s="87">
        <f t="shared" si="7"/>
        <v>100000</v>
      </c>
      <c r="H32" s="88">
        <f t="shared" si="8"/>
        <v>99800</v>
      </c>
      <c r="I32" s="42">
        <f t="shared" si="9"/>
        <v>200</v>
      </c>
      <c r="J32" s="1"/>
      <c r="K32" s="79">
        <v>2</v>
      </c>
      <c r="L32" s="80">
        <v>20250628</v>
      </c>
      <c r="M32" s="80" t="s">
        <v>31</v>
      </c>
      <c r="N32" s="80" t="s">
        <v>17</v>
      </c>
      <c r="O32" s="80" t="s">
        <v>72</v>
      </c>
      <c r="P32" s="81">
        <v>16340</v>
      </c>
      <c r="Q32" s="80" t="s">
        <v>32</v>
      </c>
      <c r="R32" s="16"/>
      <c r="S32" s="116" t="s">
        <v>33</v>
      </c>
      <c r="T32" s="1"/>
      <c r="U32" s="83" t="s">
        <v>34</v>
      </c>
      <c r="V32" s="1"/>
      <c r="W32" s="1"/>
      <c r="X32" s="1"/>
      <c r="Y32" s="1"/>
      <c r="Z32" s="1"/>
    </row>
    <row r="33" spans="1:26" ht="15.75" customHeight="1">
      <c r="A33" s="1"/>
      <c r="B33" s="143"/>
      <c r="C33" s="146"/>
      <c r="D33" s="89" t="s">
        <v>15</v>
      </c>
      <c r="E33" s="85">
        <v>1400000</v>
      </c>
      <c r="F33" s="86"/>
      <c r="G33" s="87">
        <f t="shared" si="7"/>
        <v>1400000</v>
      </c>
      <c r="H33" s="88">
        <f t="shared" si="8"/>
        <v>1349470</v>
      </c>
      <c r="I33" s="42">
        <f t="shared" si="9"/>
        <v>50530</v>
      </c>
      <c r="J33" s="1"/>
      <c r="K33" s="79">
        <v>3</v>
      </c>
      <c r="L33" s="80">
        <v>20250628</v>
      </c>
      <c r="M33" s="80" t="s">
        <v>31</v>
      </c>
      <c r="N33" s="80" t="s">
        <v>17</v>
      </c>
      <c r="O33" s="80" t="s">
        <v>72</v>
      </c>
      <c r="P33" s="81">
        <v>30680</v>
      </c>
      <c r="Q33" s="80" t="s">
        <v>32</v>
      </c>
      <c r="R33" s="16"/>
      <c r="S33" s="116" t="s">
        <v>33</v>
      </c>
      <c r="T33" s="1"/>
      <c r="U33" s="83" t="s">
        <v>34</v>
      </c>
      <c r="V33" s="1"/>
      <c r="W33" s="1"/>
      <c r="X33" s="1"/>
      <c r="Y33" s="1"/>
      <c r="Z33" s="1"/>
    </row>
    <row r="34" spans="1:26" ht="15.75" customHeight="1">
      <c r="A34" s="1"/>
      <c r="B34" s="143"/>
      <c r="C34" s="146"/>
      <c r="D34" s="89" t="s">
        <v>16</v>
      </c>
      <c r="E34" s="85"/>
      <c r="F34" s="86"/>
      <c r="G34" s="87">
        <f t="shared" si="7"/>
        <v>0</v>
      </c>
      <c r="H34" s="88">
        <f t="shared" si="8"/>
        <v>0</v>
      </c>
      <c r="I34" s="42">
        <f t="shared" si="9"/>
        <v>0</v>
      </c>
      <c r="J34" s="1"/>
      <c r="K34" s="79">
        <v>4</v>
      </c>
      <c r="L34" s="80">
        <v>20250628</v>
      </c>
      <c r="M34" s="80" t="s">
        <v>31</v>
      </c>
      <c r="N34" s="80" t="s">
        <v>17</v>
      </c>
      <c r="O34" s="80" t="s">
        <v>72</v>
      </c>
      <c r="P34" s="81">
        <f>12710-500</f>
        <v>12210</v>
      </c>
      <c r="Q34" s="80" t="s">
        <v>32</v>
      </c>
      <c r="R34" s="16"/>
      <c r="S34" s="116" t="s">
        <v>33</v>
      </c>
      <c r="T34" s="1"/>
      <c r="U34" s="83" t="s">
        <v>34</v>
      </c>
      <c r="V34" s="1"/>
      <c r="W34" s="1"/>
      <c r="X34" s="1"/>
      <c r="Y34" s="1"/>
      <c r="Z34" s="1"/>
    </row>
    <row r="35" spans="1:26" ht="15.75" customHeight="1">
      <c r="A35" s="1"/>
      <c r="B35" s="143"/>
      <c r="C35" s="146"/>
      <c r="D35" s="89" t="s">
        <v>17</v>
      </c>
      <c r="E35" s="85">
        <v>900000</v>
      </c>
      <c r="F35" s="86"/>
      <c r="G35" s="87">
        <f t="shared" si="7"/>
        <v>900000</v>
      </c>
      <c r="H35" s="88">
        <f t="shared" si="8"/>
        <v>881740</v>
      </c>
      <c r="I35" s="42">
        <f t="shared" si="9"/>
        <v>18260</v>
      </c>
      <c r="J35" s="1"/>
      <c r="K35" s="79">
        <v>5</v>
      </c>
      <c r="L35" s="80">
        <v>20250630</v>
      </c>
      <c r="M35" s="80" t="s">
        <v>31</v>
      </c>
      <c r="N35" s="80" t="s">
        <v>15</v>
      </c>
      <c r="O35" s="80" t="s">
        <v>72</v>
      </c>
      <c r="P35" s="81">
        <v>500</v>
      </c>
      <c r="Q35" s="80" t="s">
        <v>32</v>
      </c>
      <c r="R35" s="80" t="s">
        <v>73</v>
      </c>
      <c r="S35" s="116" t="s">
        <v>33</v>
      </c>
      <c r="T35" s="1"/>
      <c r="U35" s="83" t="s">
        <v>34</v>
      </c>
      <c r="V35" s="1"/>
      <c r="W35" s="1"/>
      <c r="X35" s="1"/>
      <c r="Y35" s="1"/>
      <c r="Z35" s="1"/>
    </row>
    <row r="36" spans="1:26" ht="15.75" customHeight="1">
      <c r="A36" s="1"/>
      <c r="B36" s="143"/>
      <c r="C36" s="146"/>
      <c r="D36" s="89" t="s">
        <v>18</v>
      </c>
      <c r="E36" s="85"/>
      <c r="F36" s="86"/>
      <c r="G36" s="87">
        <f t="shared" si="7"/>
        <v>0</v>
      </c>
      <c r="H36" s="88">
        <f t="shared" si="8"/>
        <v>0</v>
      </c>
      <c r="I36" s="42">
        <f t="shared" si="9"/>
        <v>0</v>
      </c>
      <c r="J36" s="1"/>
      <c r="K36" s="79">
        <v>6</v>
      </c>
      <c r="L36" s="80">
        <v>20250630</v>
      </c>
      <c r="M36" s="80" t="s">
        <v>31</v>
      </c>
      <c r="N36" s="80" t="s">
        <v>13</v>
      </c>
      <c r="O36" s="80" t="s">
        <v>74</v>
      </c>
      <c r="P36" s="81">
        <v>100000</v>
      </c>
      <c r="Q36" s="80" t="s">
        <v>35</v>
      </c>
      <c r="R36" s="82" t="s">
        <v>75</v>
      </c>
      <c r="S36" s="116" t="s">
        <v>33</v>
      </c>
      <c r="T36" s="117"/>
      <c r="U36" s="83" t="s">
        <v>34</v>
      </c>
      <c r="V36" s="1"/>
      <c r="W36" s="1"/>
      <c r="X36" s="1"/>
      <c r="Y36" s="1"/>
      <c r="Z36" s="1"/>
    </row>
    <row r="37" spans="1:26" ht="15.75" customHeight="1">
      <c r="A37" s="1"/>
      <c r="B37" s="143"/>
      <c r="C37" s="146"/>
      <c r="D37" s="89" t="s">
        <v>19</v>
      </c>
      <c r="E37" s="85"/>
      <c r="F37" s="86"/>
      <c r="G37" s="87">
        <f t="shared" si="7"/>
        <v>0</v>
      </c>
      <c r="H37" s="88">
        <f t="shared" si="8"/>
        <v>0</v>
      </c>
      <c r="I37" s="42">
        <f t="shared" si="9"/>
        <v>0</v>
      </c>
      <c r="J37" s="1"/>
      <c r="K37" s="79">
        <v>7</v>
      </c>
      <c r="L37" s="80">
        <v>20250630</v>
      </c>
      <c r="M37" s="80" t="s">
        <v>31</v>
      </c>
      <c r="N37" s="80" t="s">
        <v>13</v>
      </c>
      <c r="O37" s="80" t="s">
        <v>43</v>
      </c>
      <c r="P37" s="81">
        <v>100000</v>
      </c>
      <c r="Q37" s="80" t="s">
        <v>35</v>
      </c>
      <c r="R37" s="82" t="s">
        <v>76</v>
      </c>
      <c r="S37" s="116" t="s">
        <v>33</v>
      </c>
      <c r="U37" s="83" t="s">
        <v>34</v>
      </c>
      <c r="V37" s="1"/>
      <c r="W37" s="1"/>
      <c r="X37" s="1"/>
      <c r="Y37" s="1"/>
      <c r="Z37" s="1"/>
    </row>
    <row r="38" spans="1:26" ht="15.75" customHeight="1">
      <c r="A38" s="1"/>
      <c r="B38" s="143"/>
      <c r="C38" s="146"/>
      <c r="D38" s="89" t="s">
        <v>20</v>
      </c>
      <c r="E38" s="85"/>
      <c r="F38" s="86"/>
      <c r="G38" s="87">
        <f t="shared" si="7"/>
        <v>0</v>
      </c>
      <c r="H38" s="88">
        <f t="shared" si="8"/>
        <v>0</v>
      </c>
      <c r="I38" s="42">
        <f t="shared" si="9"/>
        <v>0</v>
      </c>
      <c r="J38" s="1"/>
      <c r="K38" s="79">
        <v>8</v>
      </c>
      <c r="L38" s="80">
        <v>20250716</v>
      </c>
      <c r="M38" s="80" t="s">
        <v>31</v>
      </c>
      <c r="N38" s="80" t="s">
        <v>15</v>
      </c>
      <c r="O38" s="80" t="s">
        <v>77</v>
      </c>
      <c r="P38" s="81">
        <v>3000</v>
      </c>
      <c r="Q38" s="80" t="s">
        <v>32</v>
      </c>
      <c r="R38" s="16"/>
      <c r="S38" s="116" t="s">
        <v>33</v>
      </c>
      <c r="T38" s="1"/>
      <c r="U38" s="83" t="s">
        <v>34</v>
      </c>
      <c r="V38" s="1"/>
      <c r="W38" s="1"/>
      <c r="X38" s="1"/>
      <c r="Y38" s="1"/>
      <c r="Z38" s="1"/>
    </row>
    <row r="39" spans="1:26" ht="15.75" customHeight="1">
      <c r="A39" s="1"/>
      <c r="B39" s="143"/>
      <c r="C39" s="146"/>
      <c r="D39" s="89" t="s">
        <v>21</v>
      </c>
      <c r="E39" s="85"/>
      <c r="F39" s="86"/>
      <c r="G39" s="87">
        <f t="shared" si="7"/>
        <v>0</v>
      </c>
      <c r="H39" s="88">
        <f t="shared" si="8"/>
        <v>0</v>
      </c>
      <c r="I39" s="42">
        <f t="shared" si="9"/>
        <v>0</v>
      </c>
      <c r="J39" s="1"/>
      <c r="K39" s="79">
        <v>9</v>
      </c>
      <c r="L39" s="80">
        <v>20250716</v>
      </c>
      <c r="M39" s="80" t="s">
        <v>31</v>
      </c>
      <c r="N39" s="80" t="s">
        <v>15</v>
      </c>
      <c r="O39" s="80" t="s">
        <v>78</v>
      </c>
      <c r="P39" s="81">
        <v>107000</v>
      </c>
      <c r="Q39" s="80" t="s">
        <v>32</v>
      </c>
      <c r="R39" s="16"/>
      <c r="S39" s="116" t="s">
        <v>33</v>
      </c>
      <c r="T39" s="1"/>
      <c r="U39" s="83" t="s">
        <v>34</v>
      </c>
      <c r="V39" s="1"/>
      <c r="W39" s="1"/>
      <c r="X39" s="1"/>
      <c r="Y39" s="1"/>
      <c r="Z39" s="1"/>
    </row>
    <row r="40" spans="1:26" ht="15.75" customHeight="1">
      <c r="A40" s="1"/>
      <c r="B40" s="143"/>
      <c r="C40" s="147"/>
      <c r="D40" s="89" t="s">
        <v>22</v>
      </c>
      <c r="E40" s="85"/>
      <c r="F40" s="86"/>
      <c r="G40" s="87">
        <f t="shared" si="7"/>
        <v>0</v>
      </c>
      <c r="H40" s="88">
        <f t="shared" si="8"/>
        <v>0</v>
      </c>
      <c r="I40" s="42">
        <f t="shared" si="9"/>
        <v>0</v>
      </c>
      <c r="J40" s="1"/>
      <c r="K40" s="79">
        <v>10</v>
      </c>
      <c r="L40" s="80">
        <v>20250716</v>
      </c>
      <c r="M40" s="80" t="s">
        <v>31</v>
      </c>
      <c r="N40" s="80" t="s">
        <v>15</v>
      </c>
      <c r="O40" s="80" t="s">
        <v>72</v>
      </c>
      <c r="P40" s="81">
        <v>6980</v>
      </c>
      <c r="Q40" s="80" t="s">
        <v>32</v>
      </c>
      <c r="R40" s="16"/>
      <c r="S40" s="116" t="s">
        <v>33</v>
      </c>
      <c r="T40" s="1"/>
      <c r="U40" s="83" t="s">
        <v>34</v>
      </c>
      <c r="V40" s="1"/>
      <c r="W40" s="1"/>
      <c r="X40" s="1"/>
      <c r="Y40" s="1"/>
      <c r="Z40" s="1"/>
    </row>
    <row r="41" spans="1:26" ht="15.75" customHeight="1">
      <c r="A41" s="1"/>
      <c r="B41" s="144"/>
      <c r="C41" s="92" t="s">
        <v>25</v>
      </c>
      <c r="D41" s="93" t="s">
        <v>26</v>
      </c>
      <c r="E41" s="94"/>
      <c r="F41" s="95"/>
      <c r="G41" s="96">
        <f t="shared" si="7"/>
        <v>0</v>
      </c>
      <c r="H41" s="97">
        <f t="shared" si="8"/>
        <v>0</v>
      </c>
      <c r="I41" s="98">
        <f t="shared" si="9"/>
        <v>0</v>
      </c>
      <c r="J41" s="1"/>
      <c r="K41" s="79">
        <v>11</v>
      </c>
      <c r="L41" s="80">
        <v>20250717</v>
      </c>
      <c r="M41" s="80" t="s">
        <v>31</v>
      </c>
      <c r="N41" s="80" t="s">
        <v>14</v>
      </c>
      <c r="O41" s="80" t="s">
        <v>79</v>
      </c>
      <c r="P41" s="81">
        <v>28600</v>
      </c>
      <c r="Q41" s="80" t="s">
        <v>32</v>
      </c>
      <c r="R41" s="16"/>
      <c r="S41" s="116" t="s">
        <v>33</v>
      </c>
      <c r="T41" s="1"/>
      <c r="U41" s="83" t="s">
        <v>34</v>
      </c>
      <c r="V41" s="1"/>
      <c r="W41" s="1"/>
      <c r="X41" s="1"/>
      <c r="Y41" s="1"/>
      <c r="Z41" s="1"/>
    </row>
    <row r="42" spans="1:26" ht="15.75" customHeight="1">
      <c r="A42" s="1"/>
      <c r="B42" s="148" t="s">
        <v>80</v>
      </c>
      <c r="C42" s="151" t="s">
        <v>12</v>
      </c>
      <c r="D42" s="99" t="s">
        <v>13</v>
      </c>
      <c r="E42" s="100"/>
      <c r="F42" s="101"/>
      <c r="G42" s="102">
        <f t="shared" si="7"/>
        <v>0</v>
      </c>
      <c r="H42" s="103">
        <f t="shared" ref="H42:H52" si="10">SUMIFS(P:P,M:M,"세부사업 2",N:N,D42)</f>
        <v>0</v>
      </c>
      <c r="I42" s="30">
        <f t="shared" si="9"/>
        <v>0</v>
      </c>
      <c r="J42" s="1"/>
      <c r="K42" s="79">
        <v>12</v>
      </c>
      <c r="L42" s="80">
        <v>20250719</v>
      </c>
      <c r="M42" s="80" t="s">
        <v>31</v>
      </c>
      <c r="N42" s="80" t="s">
        <v>17</v>
      </c>
      <c r="O42" s="80" t="s">
        <v>72</v>
      </c>
      <c r="P42" s="81">
        <v>59430</v>
      </c>
      <c r="Q42" s="80" t="s">
        <v>32</v>
      </c>
      <c r="R42" s="16"/>
      <c r="S42" s="116" t="s">
        <v>33</v>
      </c>
      <c r="T42" s="1"/>
      <c r="U42" s="83" t="s">
        <v>34</v>
      </c>
      <c r="V42" s="1"/>
      <c r="W42" s="1"/>
      <c r="X42" s="1"/>
      <c r="Y42" s="1"/>
      <c r="Z42" s="1"/>
    </row>
    <row r="43" spans="1:26" ht="15.75" customHeight="1">
      <c r="A43" s="1"/>
      <c r="B43" s="149"/>
      <c r="C43" s="152"/>
      <c r="D43" s="84" t="s">
        <v>14</v>
      </c>
      <c r="E43" s="85"/>
      <c r="F43" s="86"/>
      <c r="G43" s="87">
        <f t="shared" si="7"/>
        <v>0</v>
      </c>
      <c r="H43" s="88">
        <f t="shared" si="10"/>
        <v>0</v>
      </c>
      <c r="I43" s="42">
        <f t="shared" si="9"/>
        <v>0</v>
      </c>
      <c r="J43" s="1"/>
      <c r="K43" s="79">
        <v>13</v>
      </c>
      <c r="L43" s="80">
        <v>20250721</v>
      </c>
      <c r="M43" s="80" t="s">
        <v>31</v>
      </c>
      <c r="N43" s="80" t="s">
        <v>13</v>
      </c>
      <c r="O43" s="80" t="s">
        <v>43</v>
      </c>
      <c r="P43" s="81">
        <v>100000</v>
      </c>
      <c r="Q43" s="80" t="s">
        <v>35</v>
      </c>
      <c r="R43" s="16"/>
      <c r="S43" s="116" t="s">
        <v>33</v>
      </c>
      <c r="T43" s="1"/>
      <c r="U43" s="83" t="s">
        <v>34</v>
      </c>
      <c r="V43" s="1"/>
      <c r="W43" s="1"/>
      <c r="X43" s="1"/>
      <c r="Y43" s="1"/>
      <c r="Z43" s="1"/>
    </row>
    <row r="44" spans="1:26" ht="15.75" customHeight="1">
      <c r="A44" s="1"/>
      <c r="B44" s="149"/>
      <c r="C44" s="152"/>
      <c r="D44" s="89" t="s">
        <v>15</v>
      </c>
      <c r="E44" s="85"/>
      <c r="F44" s="86"/>
      <c r="G44" s="87">
        <f t="shared" si="7"/>
        <v>0</v>
      </c>
      <c r="H44" s="88">
        <f t="shared" si="10"/>
        <v>0</v>
      </c>
      <c r="I44" s="42">
        <f t="shared" si="9"/>
        <v>0</v>
      </c>
      <c r="J44" s="1"/>
      <c r="K44" s="79">
        <v>14</v>
      </c>
      <c r="L44" s="80">
        <v>20250721</v>
      </c>
      <c r="M44" s="80" t="s">
        <v>31</v>
      </c>
      <c r="N44" s="80" t="s">
        <v>13</v>
      </c>
      <c r="O44" s="80" t="s">
        <v>74</v>
      </c>
      <c r="P44" s="81">
        <v>100000</v>
      </c>
      <c r="Q44" s="80" t="s">
        <v>35</v>
      </c>
      <c r="R44" s="16"/>
      <c r="S44" s="116" t="s">
        <v>33</v>
      </c>
      <c r="T44" s="91"/>
      <c r="U44" s="83" t="s">
        <v>34</v>
      </c>
      <c r="V44" s="1"/>
      <c r="W44" s="1"/>
      <c r="X44" s="1"/>
      <c r="Y44" s="1"/>
      <c r="Z44" s="1"/>
    </row>
    <row r="45" spans="1:26" ht="15.75" customHeight="1">
      <c r="A45" s="1"/>
      <c r="B45" s="149"/>
      <c r="C45" s="152"/>
      <c r="D45" s="89" t="s">
        <v>16</v>
      </c>
      <c r="E45" s="85"/>
      <c r="F45" s="86"/>
      <c r="G45" s="87">
        <f t="shared" si="7"/>
        <v>0</v>
      </c>
      <c r="H45" s="88">
        <f t="shared" si="10"/>
        <v>0</v>
      </c>
      <c r="I45" s="42">
        <f t="shared" si="9"/>
        <v>0</v>
      </c>
      <c r="J45" s="1"/>
      <c r="K45" s="79">
        <v>15</v>
      </c>
      <c r="L45" s="80">
        <v>20250829</v>
      </c>
      <c r="M45" s="80" t="s">
        <v>31</v>
      </c>
      <c r="N45" s="80" t="s">
        <v>14</v>
      </c>
      <c r="O45" s="90" t="s">
        <v>79</v>
      </c>
      <c r="P45" s="81">
        <v>13200</v>
      </c>
      <c r="Q45" s="80" t="s">
        <v>32</v>
      </c>
      <c r="R45" s="118" t="s">
        <v>81</v>
      </c>
      <c r="S45" s="116" t="s">
        <v>33</v>
      </c>
      <c r="T45" s="1"/>
      <c r="U45" s="83" t="s">
        <v>34</v>
      </c>
      <c r="V45" s="1"/>
      <c r="W45" s="1"/>
      <c r="X45" s="1"/>
      <c r="Y45" s="1"/>
      <c r="Z45" s="1"/>
    </row>
    <row r="46" spans="1:26" ht="15.75" customHeight="1">
      <c r="A46" s="1"/>
      <c r="B46" s="149"/>
      <c r="C46" s="152"/>
      <c r="D46" s="89" t="s">
        <v>17</v>
      </c>
      <c r="E46" s="85"/>
      <c r="F46" s="86"/>
      <c r="G46" s="87">
        <f t="shared" si="7"/>
        <v>0</v>
      </c>
      <c r="H46" s="88">
        <f t="shared" si="10"/>
        <v>0</v>
      </c>
      <c r="I46" s="42">
        <f t="shared" si="9"/>
        <v>0</v>
      </c>
      <c r="J46" s="1"/>
      <c r="K46" s="79">
        <v>16</v>
      </c>
      <c r="L46" s="80">
        <v>20250831</v>
      </c>
      <c r="M46" s="80" t="s">
        <v>31</v>
      </c>
      <c r="N46" s="80" t="s">
        <v>13</v>
      </c>
      <c r="O46" s="80" t="s">
        <v>74</v>
      </c>
      <c r="P46" s="81">
        <v>100000</v>
      </c>
      <c r="Q46" s="80" t="s">
        <v>35</v>
      </c>
      <c r="R46" s="16"/>
      <c r="S46" s="116" t="s">
        <v>33</v>
      </c>
      <c r="T46" s="1"/>
      <c r="U46" s="83" t="s">
        <v>34</v>
      </c>
      <c r="V46" s="1"/>
      <c r="W46" s="1"/>
      <c r="X46" s="1"/>
      <c r="Y46" s="1"/>
      <c r="Z46" s="1"/>
    </row>
    <row r="47" spans="1:26" ht="15.75" customHeight="1">
      <c r="A47" s="1"/>
      <c r="B47" s="149"/>
      <c r="C47" s="152"/>
      <c r="D47" s="89" t="s">
        <v>18</v>
      </c>
      <c r="E47" s="85"/>
      <c r="F47" s="86"/>
      <c r="G47" s="87">
        <f t="shared" si="7"/>
        <v>0</v>
      </c>
      <c r="H47" s="88">
        <f t="shared" si="10"/>
        <v>0</v>
      </c>
      <c r="I47" s="42">
        <f t="shared" si="9"/>
        <v>0</v>
      </c>
      <c r="J47" s="1"/>
      <c r="K47" s="79">
        <v>17</v>
      </c>
      <c r="L47" s="80">
        <v>20250831</v>
      </c>
      <c r="M47" s="80" t="s">
        <v>31</v>
      </c>
      <c r="N47" s="80" t="s">
        <v>13</v>
      </c>
      <c r="O47" s="80" t="s">
        <v>43</v>
      </c>
      <c r="P47" s="81">
        <v>100000</v>
      </c>
      <c r="Q47" s="80" t="s">
        <v>35</v>
      </c>
      <c r="R47" s="16"/>
      <c r="S47" s="116" t="s">
        <v>33</v>
      </c>
      <c r="T47" s="1"/>
      <c r="U47" s="83" t="s">
        <v>34</v>
      </c>
      <c r="V47" s="1"/>
      <c r="W47" s="1"/>
      <c r="X47" s="1"/>
      <c r="Y47" s="1"/>
      <c r="Z47" s="1"/>
    </row>
    <row r="48" spans="1:26" ht="15.75" customHeight="1">
      <c r="A48" s="1"/>
      <c r="B48" s="149"/>
      <c r="C48" s="152"/>
      <c r="D48" s="89" t="s">
        <v>19</v>
      </c>
      <c r="E48" s="85"/>
      <c r="F48" s="86"/>
      <c r="G48" s="87">
        <f t="shared" si="7"/>
        <v>0</v>
      </c>
      <c r="H48" s="88">
        <f t="shared" si="10"/>
        <v>0</v>
      </c>
      <c r="I48" s="42">
        <f t="shared" si="9"/>
        <v>0</v>
      </c>
      <c r="J48" s="1"/>
      <c r="K48" s="79">
        <v>18</v>
      </c>
      <c r="L48" s="80">
        <v>20250903</v>
      </c>
      <c r="M48" s="80" t="s">
        <v>31</v>
      </c>
      <c r="N48" s="80" t="s">
        <v>15</v>
      </c>
      <c r="O48" s="80" t="s">
        <v>82</v>
      </c>
      <c r="P48" s="81">
        <v>278800</v>
      </c>
      <c r="Q48" s="80" t="s">
        <v>32</v>
      </c>
      <c r="R48" s="16"/>
      <c r="S48" s="116" t="s">
        <v>33</v>
      </c>
      <c r="T48" s="1"/>
      <c r="U48" s="83" t="s">
        <v>34</v>
      </c>
      <c r="V48" s="1"/>
      <c r="W48" s="1"/>
      <c r="X48" s="1"/>
      <c r="Y48" s="1"/>
      <c r="Z48" s="1"/>
    </row>
    <row r="49" spans="1:26" ht="15.75" customHeight="1">
      <c r="A49" s="1"/>
      <c r="B49" s="149"/>
      <c r="C49" s="152"/>
      <c r="D49" s="89" t="s">
        <v>20</v>
      </c>
      <c r="E49" s="85"/>
      <c r="F49" s="86"/>
      <c r="G49" s="87">
        <f t="shared" si="7"/>
        <v>0</v>
      </c>
      <c r="H49" s="88">
        <f t="shared" si="10"/>
        <v>0</v>
      </c>
      <c r="I49" s="42">
        <f t="shared" si="9"/>
        <v>0</v>
      </c>
      <c r="J49" s="1"/>
      <c r="K49" s="79">
        <v>19</v>
      </c>
      <c r="L49" s="80">
        <v>20250906</v>
      </c>
      <c r="M49" s="80" t="s">
        <v>31</v>
      </c>
      <c r="N49" s="80" t="s">
        <v>17</v>
      </c>
      <c r="O49" s="80" t="s">
        <v>83</v>
      </c>
      <c r="P49" s="81">
        <v>189000</v>
      </c>
      <c r="Q49" s="80" t="s">
        <v>32</v>
      </c>
      <c r="R49" s="16"/>
      <c r="S49" s="116" t="s">
        <v>33</v>
      </c>
      <c r="T49" s="1"/>
      <c r="U49" s="83" t="s">
        <v>34</v>
      </c>
      <c r="V49" s="1"/>
      <c r="W49" s="1"/>
      <c r="X49" s="1"/>
      <c r="Y49" s="1"/>
      <c r="Z49" s="1"/>
    </row>
    <row r="50" spans="1:26" ht="15.75" customHeight="1">
      <c r="A50" s="1"/>
      <c r="B50" s="149"/>
      <c r="C50" s="152"/>
      <c r="D50" s="89" t="s">
        <v>21</v>
      </c>
      <c r="E50" s="85"/>
      <c r="F50" s="86"/>
      <c r="G50" s="87">
        <f t="shared" si="7"/>
        <v>0</v>
      </c>
      <c r="H50" s="88">
        <f t="shared" si="10"/>
        <v>0</v>
      </c>
      <c r="I50" s="42">
        <f t="shared" si="9"/>
        <v>0</v>
      </c>
      <c r="J50" s="1"/>
      <c r="K50" s="79">
        <v>20</v>
      </c>
      <c r="L50" s="80">
        <v>20250912</v>
      </c>
      <c r="M50" s="80" t="s">
        <v>31</v>
      </c>
      <c r="N50" s="80" t="s">
        <v>15</v>
      </c>
      <c r="O50" s="80" t="s">
        <v>84</v>
      </c>
      <c r="P50" s="81">
        <v>121500</v>
      </c>
      <c r="Q50" s="80" t="s">
        <v>32</v>
      </c>
      <c r="R50" s="16"/>
      <c r="S50" s="116" t="s">
        <v>33</v>
      </c>
      <c r="T50" s="1"/>
      <c r="U50" s="83" t="s">
        <v>34</v>
      </c>
      <c r="V50" s="1"/>
      <c r="W50" s="1"/>
      <c r="X50" s="1"/>
      <c r="Y50" s="1"/>
      <c r="Z50" s="1"/>
    </row>
    <row r="51" spans="1:26" ht="15.75" customHeight="1">
      <c r="A51" s="1"/>
      <c r="B51" s="149"/>
      <c r="C51" s="153"/>
      <c r="D51" s="89" t="s">
        <v>22</v>
      </c>
      <c r="E51" s="85"/>
      <c r="F51" s="86"/>
      <c r="G51" s="87">
        <f t="shared" si="7"/>
        <v>0</v>
      </c>
      <c r="H51" s="88">
        <f t="shared" si="10"/>
        <v>0</v>
      </c>
      <c r="I51" s="42">
        <f t="shared" si="9"/>
        <v>0</v>
      </c>
      <c r="J51" s="1"/>
      <c r="K51" s="79">
        <v>21</v>
      </c>
      <c r="L51" s="80">
        <v>20250912</v>
      </c>
      <c r="M51" s="80" t="s">
        <v>31</v>
      </c>
      <c r="N51" s="80" t="s">
        <v>15</v>
      </c>
      <c r="O51" s="80" t="s">
        <v>85</v>
      </c>
      <c r="P51" s="81">
        <v>84280</v>
      </c>
      <c r="Q51" s="80" t="s">
        <v>32</v>
      </c>
      <c r="R51" s="16"/>
      <c r="S51" s="116" t="s">
        <v>33</v>
      </c>
      <c r="T51" s="1"/>
      <c r="U51" s="83" t="s">
        <v>34</v>
      </c>
      <c r="V51" s="1"/>
      <c r="W51" s="1"/>
      <c r="X51" s="1"/>
      <c r="Y51" s="1"/>
      <c r="Z51" s="1"/>
    </row>
    <row r="52" spans="1:26" ht="15.75" customHeight="1">
      <c r="A52" s="1"/>
      <c r="B52" s="150"/>
      <c r="C52" s="104" t="s">
        <v>25</v>
      </c>
      <c r="D52" s="105" t="s">
        <v>26</v>
      </c>
      <c r="E52" s="94"/>
      <c r="F52" s="95"/>
      <c r="G52" s="96">
        <f t="shared" si="7"/>
        <v>0</v>
      </c>
      <c r="H52" s="97">
        <f t="shared" si="10"/>
        <v>0</v>
      </c>
      <c r="I52" s="98">
        <f t="shared" si="9"/>
        <v>0</v>
      </c>
      <c r="J52" s="1"/>
      <c r="K52" s="79">
        <v>22</v>
      </c>
      <c r="L52" s="80">
        <v>20250913</v>
      </c>
      <c r="M52" s="80" t="s">
        <v>31</v>
      </c>
      <c r="N52" s="80" t="s">
        <v>17</v>
      </c>
      <c r="O52" s="80" t="s">
        <v>86</v>
      </c>
      <c r="P52" s="81">
        <v>63910</v>
      </c>
      <c r="Q52" s="80" t="s">
        <v>32</v>
      </c>
      <c r="R52" s="16"/>
      <c r="S52" s="116" t="s">
        <v>33</v>
      </c>
      <c r="T52" s="1"/>
      <c r="U52" s="83" t="s">
        <v>34</v>
      </c>
      <c r="V52" s="1"/>
      <c r="W52" s="1"/>
      <c r="X52" s="1"/>
      <c r="Y52" s="1"/>
      <c r="Z52" s="1"/>
    </row>
    <row r="53" spans="1:26" ht="15.75" customHeight="1">
      <c r="A53" s="1"/>
      <c r="B53" s="148" t="s">
        <v>38</v>
      </c>
      <c r="C53" s="151" t="s">
        <v>12</v>
      </c>
      <c r="D53" s="99" t="s">
        <v>13</v>
      </c>
      <c r="E53" s="100"/>
      <c r="F53" s="101"/>
      <c r="G53" s="102">
        <f t="shared" si="7"/>
        <v>0</v>
      </c>
      <c r="H53" s="103">
        <f t="shared" ref="H53:H63" si="11">SUMIFS(P:P,M:M,"세부사업 3",N:N,D53)</f>
        <v>0</v>
      </c>
      <c r="I53" s="30">
        <f t="shared" si="9"/>
        <v>0</v>
      </c>
      <c r="J53" s="1"/>
      <c r="K53" s="79">
        <v>23</v>
      </c>
      <c r="L53" s="80">
        <v>20250913</v>
      </c>
      <c r="M53" s="80" t="s">
        <v>31</v>
      </c>
      <c r="N53" s="80" t="s">
        <v>17</v>
      </c>
      <c r="O53" s="80" t="s">
        <v>87</v>
      </c>
      <c r="P53" s="81">
        <v>153000</v>
      </c>
      <c r="Q53" s="80" t="s">
        <v>32</v>
      </c>
      <c r="R53" s="80" t="s">
        <v>88</v>
      </c>
      <c r="S53" s="116" t="s">
        <v>33</v>
      </c>
      <c r="T53" s="91" t="s">
        <v>89</v>
      </c>
      <c r="U53" s="83" t="s">
        <v>34</v>
      </c>
      <c r="V53" s="1"/>
      <c r="W53" s="1"/>
      <c r="X53" s="1"/>
      <c r="Y53" s="1"/>
      <c r="Z53" s="1"/>
    </row>
    <row r="54" spans="1:26" ht="15.75" customHeight="1">
      <c r="A54" s="1"/>
      <c r="B54" s="149"/>
      <c r="C54" s="152"/>
      <c r="D54" s="84" t="s">
        <v>14</v>
      </c>
      <c r="E54" s="85"/>
      <c r="F54" s="101"/>
      <c r="G54" s="87">
        <f t="shared" si="7"/>
        <v>0</v>
      </c>
      <c r="H54" s="88">
        <f t="shared" si="11"/>
        <v>0</v>
      </c>
      <c r="I54" s="42">
        <f t="shared" si="9"/>
        <v>0</v>
      </c>
      <c r="J54" s="1"/>
      <c r="K54" s="79">
        <v>24</v>
      </c>
      <c r="L54" s="80">
        <v>20250920</v>
      </c>
      <c r="M54" s="80" t="s">
        <v>31</v>
      </c>
      <c r="N54" s="80" t="s">
        <v>17</v>
      </c>
      <c r="O54" s="80" t="s">
        <v>90</v>
      </c>
      <c r="P54" s="81">
        <v>27500</v>
      </c>
      <c r="Q54" s="80" t="s">
        <v>32</v>
      </c>
      <c r="R54" s="16"/>
      <c r="S54" s="116" t="s">
        <v>33</v>
      </c>
      <c r="T54" s="1"/>
      <c r="U54" s="83" t="s">
        <v>34</v>
      </c>
      <c r="V54" s="1"/>
      <c r="W54" s="1"/>
      <c r="X54" s="1"/>
      <c r="Y54" s="1"/>
      <c r="Z54" s="1"/>
    </row>
    <row r="55" spans="1:26" ht="15.75" customHeight="1">
      <c r="A55" s="1"/>
      <c r="B55" s="149"/>
      <c r="C55" s="152"/>
      <c r="D55" s="89" t="s">
        <v>15</v>
      </c>
      <c r="E55" s="85"/>
      <c r="F55" s="101"/>
      <c r="G55" s="87">
        <f t="shared" si="7"/>
        <v>0</v>
      </c>
      <c r="H55" s="88">
        <f t="shared" si="11"/>
        <v>0</v>
      </c>
      <c r="I55" s="42">
        <f t="shared" si="9"/>
        <v>0</v>
      </c>
      <c r="J55" s="1"/>
      <c r="K55" s="79">
        <v>25</v>
      </c>
      <c r="L55" s="80">
        <v>20250920</v>
      </c>
      <c r="M55" s="80" t="s">
        <v>31</v>
      </c>
      <c r="N55" s="80" t="s">
        <v>17</v>
      </c>
      <c r="O55" s="80" t="s">
        <v>91</v>
      </c>
      <c r="P55" s="81">
        <v>32300</v>
      </c>
      <c r="Q55" s="80" t="s">
        <v>32</v>
      </c>
      <c r="R55" s="16"/>
      <c r="S55" s="116" t="s">
        <v>33</v>
      </c>
      <c r="T55" s="1"/>
      <c r="U55" s="83" t="s">
        <v>34</v>
      </c>
      <c r="V55" s="1"/>
      <c r="W55" s="1"/>
      <c r="X55" s="1"/>
      <c r="Y55" s="1"/>
      <c r="Z55" s="1"/>
    </row>
    <row r="56" spans="1:26" ht="15.75" customHeight="1">
      <c r="A56" s="1"/>
      <c r="B56" s="149"/>
      <c r="C56" s="152"/>
      <c r="D56" s="89" t="s">
        <v>16</v>
      </c>
      <c r="E56" s="85"/>
      <c r="F56" s="101"/>
      <c r="G56" s="87">
        <f t="shared" si="7"/>
        <v>0</v>
      </c>
      <c r="H56" s="88">
        <f t="shared" si="11"/>
        <v>0</v>
      </c>
      <c r="I56" s="42">
        <f t="shared" si="9"/>
        <v>0</v>
      </c>
      <c r="J56" s="1"/>
      <c r="K56" s="79">
        <v>26</v>
      </c>
      <c r="L56" s="80">
        <v>20251015</v>
      </c>
      <c r="M56" s="80" t="s">
        <v>31</v>
      </c>
      <c r="N56" s="80" t="s">
        <v>15</v>
      </c>
      <c r="O56" s="80" t="s">
        <v>78</v>
      </c>
      <c r="P56" s="81">
        <v>278800</v>
      </c>
      <c r="Q56" s="80" t="s">
        <v>32</v>
      </c>
      <c r="R56" s="80" t="s">
        <v>92</v>
      </c>
      <c r="S56" s="116" t="s">
        <v>37</v>
      </c>
      <c r="T56" s="91" t="s">
        <v>93</v>
      </c>
      <c r="U56" s="83" t="s">
        <v>34</v>
      </c>
      <c r="V56" s="1"/>
      <c r="W56" s="1"/>
      <c r="X56" s="1"/>
      <c r="Y56" s="1"/>
      <c r="Z56" s="1"/>
    </row>
    <row r="57" spans="1:26" ht="16.5" customHeight="1">
      <c r="A57" s="1"/>
      <c r="B57" s="149"/>
      <c r="C57" s="152"/>
      <c r="D57" s="89" t="s">
        <v>17</v>
      </c>
      <c r="E57" s="85"/>
      <c r="F57" s="101"/>
      <c r="G57" s="87">
        <f t="shared" si="7"/>
        <v>0</v>
      </c>
      <c r="H57" s="88">
        <f t="shared" si="11"/>
        <v>0</v>
      </c>
      <c r="I57" s="42">
        <f t="shared" si="9"/>
        <v>0</v>
      </c>
      <c r="J57" s="1"/>
      <c r="K57" s="79">
        <v>27</v>
      </c>
      <c r="L57" s="80">
        <v>20251017</v>
      </c>
      <c r="M57" s="80" t="s">
        <v>31</v>
      </c>
      <c r="N57" s="80" t="s">
        <v>15</v>
      </c>
      <c r="O57" s="80" t="s">
        <v>72</v>
      </c>
      <c r="P57" s="81">
        <v>21940</v>
      </c>
      <c r="Q57" s="80" t="s">
        <v>32</v>
      </c>
      <c r="R57" s="16"/>
      <c r="S57" s="116" t="s">
        <v>33</v>
      </c>
      <c r="T57" s="1"/>
      <c r="U57" s="83" t="s">
        <v>34</v>
      </c>
      <c r="V57" s="1"/>
      <c r="W57" s="1"/>
      <c r="X57" s="1"/>
      <c r="Y57" s="1"/>
      <c r="Z57" s="1"/>
    </row>
    <row r="58" spans="1:26" ht="16.5" customHeight="1">
      <c r="A58" s="1"/>
      <c r="B58" s="149"/>
      <c r="C58" s="152"/>
      <c r="D58" s="89" t="s">
        <v>18</v>
      </c>
      <c r="E58" s="85"/>
      <c r="F58" s="101"/>
      <c r="G58" s="87">
        <f t="shared" si="7"/>
        <v>0</v>
      </c>
      <c r="H58" s="88">
        <f t="shared" si="11"/>
        <v>0</v>
      </c>
      <c r="I58" s="42">
        <f t="shared" si="9"/>
        <v>0</v>
      </c>
      <c r="J58" s="1"/>
      <c r="K58" s="79">
        <v>28</v>
      </c>
      <c r="L58" s="80">
        <v>20251018</v>
      </c>
      <c r="M58" s="80" t="s">
        <v>31</v>
      </c>
      <c r="N58" s="80" t="s">
        <v>17</v>
      </c>
      <c r="O58" s="80" t="s">
        <v>72</v>
      </c>
      <c r="P58" s="81">
        <v>39980</v>
      </c>
      <c r="Q58" s="80" t="s">
        <v>32</v>
      </c>
      <c r="R58" s="80" t="s">
        <v>94</v>
      </c>
      <c r="S58" s="116" t="s">
        <v>37</v>
      </c>
      <c r="T58" s="1"/>
      <c r="U58" s="83" t="s">
        <v>34</v>
      </c>
      <c r="V58" s="1"/>
      <c r="W58" s="1"/>
      <c r="X58" s="1"/>
      <c r="Y58" s="1"/>
      <c r="Z58" s="1"/>
    </row>
    <row r="59" spans="1:26" ht="16.5" customHeight="1">
      <c r="A59" s="1"/>
      <c r="B59" s="149"/>
      <c r="C59" s="152"/>
      <c r="D59" s="89" t="s">
        <v>19</v>
      </c>
      <c r="E59" s="85"/>
      <c r="F59" s="101"/>
      <c r="G59" s="87">
        <f t="shared" si="7"/>
        <v>0</v>
      </c>
      <c r="H59" s="88">
        <f t="shared" si="11"/>
        <v>0</v>
      </c>
      <c r="I59" s="42">
        <f t="shared" si="9"/>
        <v>0</v>
      </c>
      <c r="J59" s="1"/>
      <c r="K59" s="79">
        <v>29</v>
      </c>
      <c r="L59" s="80">
        <v>20251031</v>
      </c>
      <c r="M59" s="80" t="s">
        <v>31</v>
      </c>
      <c r="N59" s="80" t="s">
        <v>17</v>
      </c>
      <c r="O59" s="80" t="s">
        <v>95</v>
      </c>
      <c r="P59" s="81">
        <v>79390</v>
      </c>
      <c r="Q59" s="80" t="s">
        <v>32</v>
      </c>
      <c r="R59" s="16"/>
      <c r="S59" s="116" t="s">
        <v>33</v>
      </c>
      <c r="T59" s="1"/>
      <c r="U59" s="83" t="s">
        <v>34</v>
      </c>
      <c r="V59" s="1"/>
      <c r="W59" s="1"/>
      <c r="X59" s="1"/>
      <c r="Y59" s="1"/>
      <c r="Z59" s="1"/>
    </row>
    <row r="60" spans="1:26" ht="16.5" customHeight="1">
      <c r="A60" s="1"/>
      <c r="B60" s="149"/>
      <c r="C60" s="152"/>
      <c r="D60" s="89" t="s">
        <v>20</v>
      </c>
      <c r="E60" s="85"/>
      <c r="F60" s="101"/>
      <c r="G60" s="87">
        <f t="shared" si="7"/>
        <v>0</v>
      </c>
      <c r="H60" s="88">
        <f t="shared" si="11"/>
        <v>0</v>
      </c>
      <c r="I60" s="42">
        <f t="shared" si="9"/>
        <v>0</v>
      </c>
      <c r="J60" s="1"/>
      <c r="K60" s="79">
        <v>30</v>
      </c>
      <c r="L60" s="80">
        <v>20251031</v>
      </c>
      <c r="M60" s="80" t="s">
        <v>31</v>
      </c>
      <c r="N60" s="80" t="s">
        <v>15</v>
      </c>
      <c r="O60" s="80" t="s">
        <v>96</v>
      </c>
      <c r="P60" s="81">
        <v>80000</v>
      </c>
      <c r="Q60" s="80" t="s">
        <v>32</v>
      </c>
      <c r="R60" s="80" t="s">
        <v>97</v>
      </c>
      <c r="S60" s="116" t="s">
        <v>37</v>
      </c>
      <c r="T60" s="1"/>
      <c r="U60" s="83" t="s">
        <v>34</v>
      </c>
      <c r="V60" s="1"/>
      <c r="W60" s="1"/>
      <c r="X60" s="1"/>
      <c r="Y60" s="1"/>
      <c r="Z60" s="1"/>
    </row>
    <row r="61" spans="1:26" ht="16.5" customHeight="1">
      <c r="A61" s="1"/>
      <c r="B61" s="149"/>
      <c r="C61" s="152"/>
      <c r="D61" s="89" t="s">
        <v>21</v>
      </c>
      <c r="E61" s="85"/>
      <c r="F61" s="101"/>
      <c r="G61" s="87">
        <f t="shared" si="7"/>
        <v>0</v>
      </c>
      <c r="H61" s="88">
        <f t="shared" si="11"/>
        <v>0</v>
      </c>
      <c r="I61" s="42">
        <f t="shared" si="9"/>
        <v>0</v>
      </c>
      <c r="J61" s="1"/>
      <c r="K61" s="79">
        <v>31</v>
      </c>
      <c r="L61" s="80">
        <v>20251031</v>
      </c>
      <c r="M61" s="80" t="s">
        <v>31</v>
      </c>
      <c r="N61" s="80" t="s">
        <v>15</v>
      </c>
      <c r="O61" s="80" t="s">
        <v>95</v>
      </c>
      <c r="P61" s="81">
        <v>188520</v>
      </c>
      <c r="Q61" s="80" t="s">
        <v>32</v>
      </c>
      <c r="R61" s="80" t="s">
        <v>98</v>
      </c>
      <c r="S61" s="116" t="s">
        <v>37</v>
      </c>
      <c r="T61" s="1"/>
      <c r="U61" s="83" t="s">
        <v>34</v>
      </c>
      <c r="V61" s="1"/>
      <c r="W61" s="1"/>
      <c r="X61" s="1"/>
      <c r="Y61" s="1"/>
      <c r="Z61" s="1"/>
    </row>
    <row r="62" spans="1:26" ht="16.5" customHeight="1">
      <c r="A62" s="1"/>
      <c r="B62" s="149"/>
      <c r="C62" s="153"/>
      <c r="D62" s="89" t="s">
        <v>22</v>
      </c>
      <c r="E62" s="85"/>
      <c r="F62" s="101"/>
      <c r="G62" s="87">
        <f t="shared" si="7"/>
        <v>0</v>
      </c>
      <c r="H62" s="88">
        <f t="shared" si="11"/>
        <v>0</v>
      </c>
      <c r="I62" s="42">
        <f t="shared" si="9"/>
        <v>0</v>
      </c>
      <c r="J62" s="1"/>
      <c r="K62" s="79">
        <v>32</v>
      </c>
      <c r="L62" s="80">
        <v>20251101</v>
      </c>
      <c r="M62" s="80" t="s">
        <v>31</v>
      </c>
      <c r="N62" s="80" t="s">
        <v>15</v>
      </c>
      <c r="O62" s="80" t="s">
        <v>36</v>
      </c>
      <c r="P62" s="81">
        <v>142850</v>
      </c>
      <c r="Q62" s="80" t="s">
        <v>32</v>
      </c>
      <c r="R62" s="80" t="s">
        <v>92</v>
      </c>
      <c r="S62" s="116" t="s">
        <v>37</v>
      </c>
      <c r="T62" s="1"/>
      <c r="U62" s="83" t="s">
        <v>34</v>
      </c>
      <c r="V62" s="1"/>
      <c r="W62" s="1"/>
      <c r="X62" s="1"/>
      <c r="Y62" s="1"/>
      <c r="Z62" s="1"/>
    </row>
    <row r="63" spans="1:26" ht="16.5" customHeight="1">
      <c r="A63" s="1"/>
      <c r="B63" s="150"/>
      <c r="C63" s="104" t="s">
        <v>25</v>
      </c>
      <c r="D63" s="105" t="s">
        <v>26</v>
      </c>
      <c r="E63" s="94"/>
      <c r="F63" s="106"/>
      <c r="G63" s="96">
        <f t="shared" si="7"/>
        <v>0</v>
      </c>
      <c r="H63" s="97">
        <f t="shared" si="11"/>
        <v>0</v>
      </c>
      <c r="I63" s="98">
        <f t="shared" si="9"/>
        <v>0</v>
      </c>
      <c r="J63" s="1"/>
      <c r="K63" s="79">
        <v>33</v>
      </c>
      <c r="L63" s="80">
        <v>20251116</v>
      </c>
      <c r="M63" s="80" t="s">
        <v>31</v>
      </c>
      <c r="N63" s="80" t="s">
        <v>15</v>
      </c>
      <c r="O63" s="80" t="s">
        <v>36</v>
      </c>
      <c r="P63" s="81">
        <v>18500</v>
      </c>
      <c r="Q63" s="80" t="s">
        <v>32</v>
      </c>
      <c r="R63" s="16"/>
      <c r="S63" s="116" t="s">
        <v>33</v>
      </c>
      <c r="T63" s="1"/>
      <c r="U63" s="83" t="s">
        <v>34</v>
      </c>
      <c r="V63" s="1"/>
      <c r="W63" s="1"/>
      <c r="X63" s="1"/>
      <c r="Y63" s="1"/>
      <c r="Z63" s="1"/>
    </row>
    <row r="64" spans="1:26" ht="16.5" customHeight="1">
      <c r="A64" s="1"/>
      <c r="B64" s="154" t="s">
        <v>27</v>
      </c>
      <c r="C64" s="155"/>
      <c r="D64" s="156"/>
      <c r="E64" s="107">
        <f t="shared" ref="E64:F64" si="12">SUM(E31:E63)</f>
        <v>3000000</v>
      </c>
      <c r="F64" s="107">
        <f t="shared" si="12"/>
        <v>0</v>
      </c>
      <c r="G64" s="107">
        <f t="shared" si="7"/>
        <v>3000000</v>
      </c>
      <c r="H64" s="107">
        <f t="shared" ref="H64:I64" si="13">SUM(H31:H63)</f>
        <v>2931010</v>
      </c>
      <c r="I64" s="108">
        <f t="shared" si="13"/>
        <v>68990</v>
      </c>
      <c r="J64" s="1"/>
      <c r="K64" s="79">
        <v>34</v>
      </c>
      <c r="L64" s="80">
        <v>20251116</v>
      </c>
      <c r="M64" s="80" t="s">
        <v>31</v>
      </c>
      <c r="N64" s="80" t="s">
        <v>17</v>
      </c>
      <c r="O64" s="80" t="s">
        <v>99</v>
      </c>
      <c r="P64" s="81">
        <v>50000</v>
      </c>
      <c r="Q64" s="80" t="s">
        <v>32</v>
      </c>
      <c r="R64" s="80" t="s">
        <v>100</v>
      </c>
      <c r="S64" s="116" t="s">
        <v>37</v>
      </c>
      <c r="T64" s="1"/>
      <c r="U64" s="83" t="s">
        <v>34</v>
      </c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2"/>
      <c r="F65" s="1"/>
      <c r="G65" s="1"/>
      <c r="H65" s="1"/>
      <c r="I65" s="1"/>
      <c r="J65" s="1"/>
      <c r="K65" s="79">
        <v>35</v>
      </c>
      <c r="L65" s="80">
        <v>20251116</v>
      </c>
      <c r="M65" s="80" t="s">
        <v>31</v>
      </c>
      <c r="N65" s="80" t="s">
        <v>17</v>
      </c>
      <c r="O65" s="80" t="s">
        <v>101</v>
      </c>
      <c r="P65" s="81">
        <v>128000</v>
      </c>
      <c r="Q65" s="80" t="s">
        <v>32</v>
      </c>
      <c r="R65" s="80" t="s">
        <v>100</v>
      </c>
      <c r="S65" s="116" t="s">
        <v>37</v>
      </c>
      <c r="T65" s="1"/>
      <c r="U65" s="83" t="s">
        <v>34</v>
      </c>
      <c r="V65" s="1"/>
      <c r="W65" s="1"/>
      <c r="X65" s="1"/>
      <c r="Y65" s="1"/>
      <c r="Z65" s="1"/>
    </row>
    <row r="66" spans="1:26" ht="16.5" customHeight="1">
      <c r="A66" s="1"/>
      <c r="B66" s="1"/>
      <c r="C66" s="109"/>
      <c r="D66" s="109"/>
      <c r="E66" s="109"/>
      <c r="F66" s="110"/>
      <c r="G66" s="111"/>
      <c r="H66" s="1"/>
      <c r="I66" s="1"/>
      <c r="J66" s="1"/>
      <c r="K66" s="79">
        <v>36</v>
      </c>
      <c r="L66" s="80">
        <v>20251118</v>
      </c>
      <c r="M66" s="80" t="s">
        <v>31</v>
      </c>
      <c r="N66" s="80" t="s">
        <v>14</v>
      </c>
      <c r="O66" s="80" t="s">
        <v>79</v>
      </c>
      <c r="P66" s="81">
        <v>58000</v>
      </c>
      <c r="Q66" s="80" t="s">
        <v>32</v>
      </c>
      <c r="R66" s="16"/>
      <c r="S66" s="116" t="s">
        <v>33</v>
      </c>
      <c r="T66" s="1"/>
      <c r="U66" s="83" t="s">
        <v>34</v>
      </c>
      <c r="V66" s="1"/>
      <c r="W66" s="1"/>
      <c r="X66" s="1"/>
      <c r="Y66" s="1"/>
      <c r="Z66" s="1"/>
    </row>
    <row r="67" spans="1:26" ht="16.5" customHeight="1">
      <c r="A67" s="1"/>
      <c r="B67" s="1"/>
      <c r="C67" s="110"/>
      <c r="D67" s="110"/>
      <c r="E67" s="112"/>
      <c r="F67" s="110"/>
      <c r="G67" s="113"/>
      <c r="H67" s="1"/>
      <c r="I67" s="1"/>
      <c r="J67" s="1"/>
      <c r="K67" s="119"/>
      <c r="L67" s="120"/>
      <c r="M67" s="16"/>
      <c r="N67" s="16"/>
      <c r="O67" s="16"/>
      <c r="P67" s="121"/>
      <c r="Q67" s="16"/>
      <c r="R67" s="16"/>
      <c r="S67" s="122"/>
      <c r="T67" s="1"/>
      <c r="U67" s="2"/>
      <c r="V67" s="1"/>
      <c r="W67" s="1"/>
      <c r="X67" s="1"/>
      <c r="Y67" s="1"/>
      <c r="Z67" s="1"/>
    </row>
    <row r="68" spans="1:26" ht="16.5" customHeight="1">
      <c r="A68" s="1"/>
      <c r="B68" s="1"/>
      <c r="C68" s="157"/>
      <c r="D68" s="110"/>
      <c r="E68" s="112"/>
      <c r="F68" s="110"/>
      <c r="G68" s="113"/>
      <c r="H68" s="1"/>
      <c r="I68" s="1"/>
      <c r="J68" s="1"/>
      <c r="K68" s="119"/>
      <c r="L68" s="120"/>
      <c r="M68" s="16"/>
      <c r="N68" s="16"/>
      <c r="O68" s="16"/>
      <c r="P68" s="121"/>
      <c r="Q68" s="16"/>
      <c r="R68" s="16"/>
      <c r="S68" s="122"/>
      <c r="T68" s="1"/>
      <c r="U68" s="2"/>
      <c r="V68" s="1"/>
      <c r="W68" s="1"/>
      <c r="X68" s="1"/>
      <c r="Y68" s="1"/>
      <c r="Z68" s="1"/>
    </row>
    <row r="69" spans="1:26" ht="16.5" customHeight="1">
      <c r="A69" s="1"/>
      <c r="B69" s="1"/>
      <c r="C69" s="127"/>
      <c r="D69" s="2"/>
      <c r="E69" s="114"/>
      <c r="F69" s="110"/>
      <c r="G69" s="111"/>
      <c r="H69" s="1"/>
      <c r="I69" s="1"/>
      <c r="J69" s="1"/>
      <c r="K69" s="119"/>
      <c r="L69" s="120"/>
      <c r="M69" s="16"/>
      <c r="N69" s="16"/>
      <c r="O69" s="16"/>
      <c r="P69" s="121"/>
      <c r="Q69" s="16"/>
      <c r="R69" s="16"/>
      <c r="S69" s="122"/>
      <c r="T69" s="1"/>
      <c r="U69" s="2"/>
      <c r="V69" s="1"/>
      <c r="W69" s="1"/>
      <c r="X69" s="1"/>
      <c r="Y69" s="1"/>
      <c r="Z69" s="1"/>
    </row>
    <row r="70" spans="1:26" ht="16.5" customHeight="1">
      <c r="A70" s="1"/>
      <c r="B70" s="1"/>
      <c r="C70" s="127"/>
      <c r="D70" s="2"/>
      <c r="E70" s="114"/>
      <c r="F70" s="1"/>
      <c r="G70" s="1"/>
      <c r="H70" s="1"/>
      <c r="I70" s="1"/>
      <c r="J70" s="1"/>
      <c r="K70" s="119"/>
      <c r="L70" s="120"/>
      <c r="M70" s="16"/>
      <c r="N70" s="16"/>
      <c r="O70" s="16"/>
      <c r="P70" s="121"/>
      <c r="Q70" s="16"/>
      <c r="R70" s="16"/>
      <c r="S70" s="122"/>
      <c r="T70" s="1"/>
      <c r="U70" s="2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66"/>
      <c r="O71" s="1"/>
      <c r="P71" s="1"/>
      <c r="Q71" s="1"/>
      <c r="R71" s="1"/>
      <c r="S71" s="1"/>
      <c r="T71" s="1"/>
      <c r="U71" s="2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2"/>
      <c r="F72" s="1"/>
      <c r="G72" s="1"/>
      <c r="H72" s="2"/>
      <c r="I72" s="1"/>
      <c r="J72" s="1"/>
      <c r="K72" s="1"/>
      <c r="L72" s="1"/>
      <c r="M72" s="1"/>
      <c r="N72" s="66"/>
      <c r="O72" s="1"/>
      <c r="P72" s="1"/>
      <c r="Q72" s="1"/>
      <c r="R72" s="1"/>
      <c r="S72" s="1"/>
      <c r="T72" s="1"/>
      <c r="U72" s="2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2"/>
      <c r="F73" s="1"/>
      <c r="G73" s="1"/>
      <c r="H73" s="2"/>
      <c r="I73" s="1"/>
      <c r="J73" s="1"/>
      <c r="K73" s="1"/>
      <c r="L73" s="1"/>
      <c r="M73" s="1"/>
      <c r="N73" s="66"/>
      <c r="O73" s="1"/>
      <c r="P73" s="1"/>
      <c r="Q73" s="1"/>
      <c r="R73" s="1"/>
      <c r="S73" s="1"/>
      <c r="T73" s="1"/>
      <c r="U73" s="2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2"/>
      <c r="F74" s="1"/>
      <c r="G74" s="1"/>
      <c r="H74" s="2"/>
      <c r="I74" s="1"/>
      <c r="J74" s="1"/>
      <c r="K74" s="1"/>
      <c r="L74" s="1"/>
      <c r="M74" s="1"/>
      <c r="N74" s="66"/>
      <c r="O74" s="1"/>
      <c r="P74" s="1"/>
      <c r="Q74" s="1"/>
      <c r="R74" s="1"/>
      <c r="S74" s="1"/>
      <c r="T74" s="1"/>
      <c r="U74" s="2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2"/>
      <c r="F75" s="1"/>
      <c r="G75" s="1"/>
      <c r="H75" s="2"/>
      <c r="I75" s="1"/>
      <c r="J75" s="1"/>
      <c r="K75" s="1"/>
      <c r="L75" s="1"/>
      <c r="M75" s="1"/>
      <c r="N75" s="66"/>
      <c r="O75" s="1"/>
      <c r="P75" s="1"/>
      <c r="Q75" s="1"/>
      <c r="R75" s="1"/>
      <c r="S75" s="1"/>
      <c r="T75" s="1"/>
      <c r="U75" s="2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2"/>
      <c r="F76" s="1"/>
      <c r="G76" s="1"/>
      <c r="H76" s="2"/>
      <c r="I76" s="1"/>
      <c r="J76" s="1"/>
      <c r="K76" s="1"/>
      <c r="L76" s="1"/>
      <c r="M76" s="1"/>
      <c r="N76" s="66"/>
      <c r="O76" s="1"/>
      <c r="P76" s="1"/>
      <c r="Q76" s="1"/>
      <c r="R76" s="1"/>
      <c r="S76" s="1"/>
      <c r="T76" s="1"/>
      <c r="U76" s="2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2"/>
      <c r="F77" s="1"/>
      <c r="G77" s="1"/>
      <c r="H77" s="2"/>
      <c r="I77" s="1"/>
      <c r="J77" s="1"/>
      <c r="K77" s="1"/>
      <c r="L77" s="1"/>
      <c r="M77" s="1"/>
      <c r="N77" s="66"/>
      <c r="O77" s="1"/>
      <c r="P77" s="1"/>
      <c r="Q77" s="1"/>
      <c r="R77" s="1"/>
      <c r="S77" s="1"/>
      <c r="T77" s="1"/>
      <c r="U77" s="2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2"/>
      <c r="F78" s="1"/>
      <c r="G78" s="1"/>
      <c r="H78" s="2"/>
      <c r="I78" s="1"/>
      <c r="J78" s="1"/>
      <c r="K78" s="1"/>
      <c r="L78" s="1"/>
      <c r="M78" s="1"/>
      <c r="N78" s="66"/>
      <c r="O78" s="1"/>
      <c r="P78" s="1"/>
      <c r="Q78" s="1"/>
      <c r="R78" s="1"/>
      <c r="S78" s="1"/>
      <c r="T78" s="1"/>
      <c r="U78" s="2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2"/>
      <c r="F79" s="1"/>
      <c r="G79" s="1"/>
      <c r="H79" s="2"/>
      <c r="I79" s="1"/>
      <c r="J79" s="1"/>
      <c r="K79" s="1"/>
      <c r="L79" s="1"/>
      <c r="M79" s="1"/>
      <c r="N79" s="66"/>
      <c r="O79" s="1"/>
      <c r="P79" s="1"/>
      <c r="Q79" s="1"/>
      <c r="R79" s="1"/>
      <c r="S79" s="1"/>
      <c r="T79" s="1"/>
      <c r="U79" s="2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2"/>
      <c r="F80" s="1"/>
      <c r="G80" s="1"/>
      <c r="H80" s="2"/>
      <c r="I80" s="1"/>
      <c r="J80" s="1"/>
      <c r="K80" s="1"/>
      <c r="L80" s="1"/>
      <c r="M80" s="1"/>
      <c r="N80" s="66"/>
      <c r="O80" s="1"/>
      <c r="P80" s="1"/>
      <c r="Q80" s="1"/>
      <c r="R80" s="1"/>
      <c r="S80" s="1"/>
      <c r="T80" s="1"/>
      <c r="U80" s="2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2"/>
      <c r="F81" s="1"/>
      <c r="G81" s="1"/>
      <c r="H81" s="2"/>
      <c r="I81" s="1"/>
      <c r="J81" s="1"/>
      <c r="K81" s="1"/>
      <c r="L81" s="1"/>
      <c r="M81" s="1"/>
      <c r="N81" s="66"/>
      <c r="O81" s="1"/>
      <c r="P81" s="1"/>
      <c r="Q81" s="1"/>
      <c r="R81" s="1"/>
      <c r="S81" s="1"/>
      <c r="T81" s="1"/>
      <c r="U81" s="2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2"/>
      <c r="F82" s="1"/>
      <c r="G82" s="1"/>
      <c r="H82" s="2"/>
      <c r="I82" s="1"/>
      <c r="J82" s="1"/>
      <c r="K82" s="1"/>
      <c r="L82" s="1"/>
      <c r="M82" s="1"/>
      <c r="N82" s="66"/>
      <c r="O82" s="1"/>
      <c r="P82" s="1"/>
      <c r="Q82" s="1"/>
      <c r="R82" s="1"/>
      <c r="S82" s="1"/>
      <c r="T82" s="1"/>
      <c r="U82" s="2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2"/>
      <c r="F83" s="1"/>
      <c r="G83" s="1"/>
      <c r="H83" s="2"/>
      <c r="I83" s="1"/>
      <c r="J83" s="1"/>
      <c r="K83" s="1"/>
      <c r="L83" s="1"/>
      <c r="M83" s="1"/>
      <c r="N83" s="66"/>
      <c r="O83" s="1"/>
      <c r="P83" s="1"/>
      <c r="Q83" s="1"/>
      <c r="R83" s="1"/>
      <c r="S83" s="1"/>
      <c r="T83" s="1"/>
      <c r="U83" s="2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2"/>
      <c r="F84" s="1"/>
      <c r="G84" s="1"/>
      <c r="H84" s="2"/>
      <c r="I84" s="1"/>
      <c r="J84" s="1"/>
      <c r="K84" s="1"/>
      <c r="L84" s="1"/>
      <c r="M84" s="1"/>
      <c r="N84" s="66"/>
      <c r="O84" s="1"/>
      <c r="P84" s="1"/>
      <c r="Q84" s="1"/>
      <c r="R84" s="1"/>
      <c r="S84" s="1"/>
      <c r="T84" s="1"/>
      <c r="U84" s="2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2"/>
      <c r="F85" s="1"/>
      <c r="G85" s="1"/>
      <c r="H85" s="2"/>
      <c r="I85" s="1"/>
      <c r="J85" s="1"/>
      <c r="K85" s="1"/>
      <c r="L85" s="1"/>
      <c r="M85" s="1"/>
      <c r="N85" s="66"/>
      <c r="O85" s="1"/>
      <c r="P85" s="1"/>
      <c r="Q85" s="1"/>
      <c r="R85" s="1"/>
      <c r="S85" s="1"/>
      <c r="T85" s="1"/>
      <c r="U85" s="2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2"/>
      <c r="F86" s="1"/>
      <c r="G86" s="1"/>
      <c r="H86" s="2"/>
      <c r="I86" s="1"/>
      <c r="J86" s="1"/>
      <c r="K86" s="1"/>
      <c r="L86" s="1"/>
      <c r="M86" s="1"/>
      <c r="N86" s="66"/>
      <c r="O86" s="1"/>
      <c r="P86" s="1"/>
      <c r="Q86" s="1"/>
      <c r="R86" s="1"/>
      <c r="S86" s="1"/>
      <c r="T86" s="1"/>
      <c r="U86" s="2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2"/>
      <c r="F87" s="1"/>
      <c r="G87" s="1"/>
      <c r="H87" s="2"/>
      <c r="I87" s="1"/>
      <c r="J87" s="1"/>
      <c r="K87" s="1"/>
      <c r="L87" s="1"/>
      <c r="M87" s="1"/>
      <c r="N87" s="66"/>
      <c r="O87" s="1"/>
      <c r="P87" s="1"/>
      <c r="Q87" s="1"/>
      <c r="R87" s="1"/>
      <c r="S87" s="1"/>
      <c r="T87" s="1"/>
      <c r="U87" s="2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2"/>
      <c r="F88" s="1"/>
      <c r="G88" s="1"/>
      <c r="H88" s="2"/>
      <c r="I88" s="1"/>
      <c r="J88" s="1"/>
      <c r="K88" s="1"/>
      <c r="L88" s="1"/>
      <c r="M88" s="1"/>
      <c r="N88" s="66"/>
      <c r="O88" s="1"/>
      <c r="P88" s="1"/>
      <c r="Q88" s="1"/>
      <c r="R88" s="1"/>
      <c r="S88" s="1"/>
      <c r="T88" s="1"/>
      <c r="U88" s="2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2"/>
      <c r="F89" s="1"/>
      <c r="G89" s="1"/>
      <c r="H89" s="2"/>
      <c r="I89" s="1"/>
      <c r="J89" s="1"/>
      <c r="K89" s="1"/>
      <c r="L89" s="1"/>
      <c r="M89" s="1"/>
      <c r="N89" s="66"/>
      <c r="O89" s="1"/>
      <c r="P89" s="1"/>
      <c r="Q89" s="1"/>
      <c r="R89" s="1"/>
      <c r="S89" s="1"/>
      <c r="T89" s="1"/>
      <c r="U89" s="2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2"/>
      <c r="F90" s="1"/>
      <c r="G90" s="1"/>
      <c r="H90" s="2"/>
      <c r="I90" s="1"/>
      <c r="J90" s="1"/>
      <c r="K90" s="1"/>
      <c r="L90" s="1"/>
      <c r="M90" s="1"/>
      <c r="N90" s="66"/>
      <c r="O90" s="1"/>
      <c r="P90" s="1"/>
      <c r="Q90" s="1"/>
      <c r="R90" s="1"/>
      <c r="S90" s="1"/>
      <c r="T90" s="1"/>
      <c r="U90" s="2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2"/>
      <c r="F91" s="1"/>
      <c r="G91" s="1"/>
      <c r="H91" s="2"/>
      <c r="I91" s="1"/>
      <c r="J91" s="1"/>
      <c r="K91" s="1"/>
      <c r="L91" s="1"/>
      <c r="M91" s="1"/>
      <c r="N91" s="66"/>
      <c r="O91" s="1"/>
      <c r="P91" s="1"/>
      <c r="Q91" s="1"/>
      <c r="R91" s="1"/>
      <c r="S91" s="1"/>
      <c r="T91" s="1"/>
      <c r="U91" s="2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2"/>
      <c r="F92" s="1"/>
      <c r="G92" s="1"/>
      <c r="H92" s="2"/>
      <c r="I92" s="1"/>
      <c r="J92" s="1"/>
      <c r="K92" s="1"/>
      <c r="L92" s="1"/>
      <c r="M92" s="1"/>
      <c r="N92" s="66"/>
      <c r="O92" s="1"/>
      <c r="P92" s="1"/>
      <c r="Q92" s="1"/>
      <c r="R92" s="1"/>
      <c r="S92" s="1"/>
      <c r="T92" s="1"/>
      <c r="U92" s="2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2"/>
      <c r="F93" s="1"/>
      <c r="G93" s="1"/>
      <c r="H93" s="2"/>
      <c r="I93" s="1"/>
      <c r="J93" s="1"/>
      <c r="K93" s="1"/>
      <c r="L93" s="1"/>
      <c r="M93" s="1"/>
      <c r="N93" s="66"/>
      <c r="O93" s="1"/>
      <c r="P93" s="1"/>
      <c r="Q93" s="1"/>
      <c r="R93" s="1"/>
      <c r="S93" s="1"/>
      <c r="T93" s="1"/>
      <c r="U93" s="2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2"/>
      <c r="F94" s="1"/>
      <c r="G94" s="1"/>
      <c r="H94" s="2"/>
      <c r="I94" s="1"/>
      <c r="J94" s="1"/>
      <c r="K94" s="1"/>
      <c r="L94" s="1"/>
      <c r="M94" s="1"/>
      <c r="N94" s="66"/>
      <c r="O94" s="1"/>
      <c r="P94" s="1"/>
      <c r="Q94" s="1"/>
      <c r="R94" s="1"/>
      <c r="S94" s="1"/>
      <c r="T94" s="1"/>
      <c r="U94" s="2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2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2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2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2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2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2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2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2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2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2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2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2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2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2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2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2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2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2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2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2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2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2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2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2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2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2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2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2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2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2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2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2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2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2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2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2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2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2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2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2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2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2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2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2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2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2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2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2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2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2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2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2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2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2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2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2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2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2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2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2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2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2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2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2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2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2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2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2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2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2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2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2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2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2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2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2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2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2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2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2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2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2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2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2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2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2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2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2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2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2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2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2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2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2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2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2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2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2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2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2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2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2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2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2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2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2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2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2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2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2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2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2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2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2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2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2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2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2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2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2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2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2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2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2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2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2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2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2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2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2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2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2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2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2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2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2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2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2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2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2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2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2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2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2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2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2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2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2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2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2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2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2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2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2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2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2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2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2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2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2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2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2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2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2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2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2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2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2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2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2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2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2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2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2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2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2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2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2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2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2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2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2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2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2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2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2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2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2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2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2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2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2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2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2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2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2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2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2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2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2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2"/>
      <c r="F255" s="1"/>
      <c r="G255" s="1"/>
      <c r="H255" s="2"/>
      <c r="I255" s="1"/>
      <c r="J255" s="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2"/>
      <c r="F256" s="1"/>
      <c r="G256" s="1"/>
      <c r="H256" s="2"/>
      <c r="I256" s="1"/>
      <c r="J256" s="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2"/>
      <c r="F257" s="1"/>
      <c r="G257" s="1"/>
      <c r="H257" s="2"/>
      <c r="I257" s="1"/>
      <c r="J257" s="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2"/>
      <c r="F258" s="1"/>
      <c r="G258" s="1"/>
      <c r="H258" s="2"/>
      <c r="I258" s="1"/>
      <c r="J258" s="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2"/>
      <c r="F259" s="1"/>
      <c r="G259" s="1"/>
      <c r="H259" s="2"/>
      <c r="I259" s="1"/>
      <c r="J259" s="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2"/>
      <c r="F260" s="1"/>
      <c r="G260" s="1"/>
      <c r="H260" s="2"/>
      <c r="I260" s="1"/>
      <c r="J260" s="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2"/>
      <c r="F261" s="1"/>
      <c r="G261" s="1"/>
      <c r="H261" s="2"/>
      <c r="I261" s="1"/>
      <c r="J261" s="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2"/>
      <c r="F262" s="1"/>
      <c r="G262" s="1"/>
      <c r="H262" s="2"/>
      <c r="I262" s="1"/>
      <c r="J262" s="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2"/>
      <c r="F263" s="1"/>
      <c r="G263" s="1"/>
      <c r="H263" s="2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2"/>
      <c r="F264" s="1"/>
      <c r="G264" s="1"/>
      <c r="H264" s="2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1"/>
      <c r="W264" s="1"/>
      <c r="X264" s="1"/>
      <c r="Y264" s="1"/>
      <c r="Z264" s="1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10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10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10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10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10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10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10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10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10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10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10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10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10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10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10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10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10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10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10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10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10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10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10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10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10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10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10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10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10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10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10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10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10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10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10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10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10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10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10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10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10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10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10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10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10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10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10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10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10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10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10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10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10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10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10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10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10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10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10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10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10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10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10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10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10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10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10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10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10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10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10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10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10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10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10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10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10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10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10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10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10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10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10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10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10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10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10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10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10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10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10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10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10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10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10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10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10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10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10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10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10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10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10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10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10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10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10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10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10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10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10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10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10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10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10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10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10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10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10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10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10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10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10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10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10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10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10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10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10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10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10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10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10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10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10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10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10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10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10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10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10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10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10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10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10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10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10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10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10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10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10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10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10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10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10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10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10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10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10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10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10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10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10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10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10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10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10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10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10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10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10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10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10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10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10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10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10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10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10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10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10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10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10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10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10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10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10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10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10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10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10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10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10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10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10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10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10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10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10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10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10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10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10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10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10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10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10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10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10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10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10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10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10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10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10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10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10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10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10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10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10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10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10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10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10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10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10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10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10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10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10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10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10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10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10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10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10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10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10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10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10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10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10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10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10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10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10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10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10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10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10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10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10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10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10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10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10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10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10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10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10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10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10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10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10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10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10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10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10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10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10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10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10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10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10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10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10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10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10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10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10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10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10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10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10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10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10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10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10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10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10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10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10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10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10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10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10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10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10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10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10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10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10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10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10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10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10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10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10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10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10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10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10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10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10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10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10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10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10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10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10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10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10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10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10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10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10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10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10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10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10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10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10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10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10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10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10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10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10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10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10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10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10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10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10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10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10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10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10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10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10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10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10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10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10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10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10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10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10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10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10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10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10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10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10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10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10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10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10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10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10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10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10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10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10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10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10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10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10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10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10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10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10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10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10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10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10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10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10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10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10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10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10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10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10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10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10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10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10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10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10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10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10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10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10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10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10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10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10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10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10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10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10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10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10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10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10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10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10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10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10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10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10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10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10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10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10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10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10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10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10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10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10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10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10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10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10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10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10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10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10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10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10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10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10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10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10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10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10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10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10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10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10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10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10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10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10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10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10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10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10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10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10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10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10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10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10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10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10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10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10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10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10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10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10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10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10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10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10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10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10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10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10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10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10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10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10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10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10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10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10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10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10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10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10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10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10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10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10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10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10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10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10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10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10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10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10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10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10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10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10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10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10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10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10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10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10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10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10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10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10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10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10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10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10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10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10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10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10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10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10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10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10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10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10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10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10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10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10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10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10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10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10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10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10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10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10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10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10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10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10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10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10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10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10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10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10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10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10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10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10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10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10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10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10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10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10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10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10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10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10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10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10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10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10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10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10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10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10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10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10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10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10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10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10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10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10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10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10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10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10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10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10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10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10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10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10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10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10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10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10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10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10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10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10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10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10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10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10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10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10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10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10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10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10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10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10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10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10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10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10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10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10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10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10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10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10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10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10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10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10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10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10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10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10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10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10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10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10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10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10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10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10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10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10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10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10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10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10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10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10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10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10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10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10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10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10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10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10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10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10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10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10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10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10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10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10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10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10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10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10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10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10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10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10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10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10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10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10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10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10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10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10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10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10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10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10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10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10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10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10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10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10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10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10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10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10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10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10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10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10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10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10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10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10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10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10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10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10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10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10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10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10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10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10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10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10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10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10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10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10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10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10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10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10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10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U991" s="10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U992" s="10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U993" s="10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U994" s="10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U995" s="10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U996" s="10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U997" s="10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U998" s="10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U999" s="10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U1000" s="10"/>
      <c r="V1000" s="3"/>
      <c r="W1000" s="3"/>
      <c r="X1000" s="3"/>
      <c r="Y1000" s="3"/>
      <c r="Z1000" s="3"/>
    </row>
  </sheetData>
  <mergeCells count="31">
    <mergeCell ref="C68:C70"/>
    <mergeCell ref="B12:C12"/>
    <mergeCell ref="D12:E12"/>
    <mergeCell ref="B14:B23"/>
    <mergeCell ref="B26:E26"/>
    <mergeCell ref="C27:D27"/>
    <mergeCell ref="B29:C29"/>
    <mergeCell ref="B42:B52"/>
    <mergeCell ref="C42:C51"/>
    <mergeCell ref="B53:B63"/>
    <mergeCell ref="C53:C62"/>
    <mergeCell ref="B64:D64"/>
    <mergeCell ref="C11:D11"/>
    <mergeCell ref="F11:G11"/>
    <mergeCell ref="D29:I29"/>
    <mergeCell ref="K29:L29"/>
    <mergeCell ref="B31:B41"/>
    <mergeCell ref="C31:C40"/>
    <mergeCell ref="F27:G27"/>
    <mergeCell ref="B8:C8"/>
    <mergeCell ref="C9:D9"/>
    <mergeCell ref="F9:G9"/>
    <mergeCell ref="I9:J9"/>
    <mergeCell ref="C10:D10"/>
    <mergeCell ref="F10:G10"/>
    <mergeCell ref="C2:H2"/>
    <mergeCell ref="B3:G3"/>
    <mergeCell ref="C6:D6"/>
    <mergeCell ref="F6:G6"/>
    <mergeCell ref="C7:D7"/>
    <mergeCell ref="F7:G7"/>
  </mergeCells>
  <phoneticPr fontId="26" type="noConversion"/>
  <conditionalFormatting sqref="H33">
    <cfRule type="cellIs" dxfId="103" priority="1" operator="greaterThan">
      <formula>$G$33</formula>
    </cfRule>
  </conditionalFormatting>
  <conditionalFormatting sqref="I14">
    <cfRule type="cellIs" dxfId="102" priority="2" operator="greaterThan">
      <formula>$H$14</formula>
    </cfRule>
  </conditionalFormatting>
  <conditionalFormatting sqref="I15">
    <cfRule type="cellIs" dxfId="101" priority="3" operator="greaterThan">
      <formula>$H$15</formula>
    </cfRule>
  </conditionalFormatting>
  <conditionalFormatting sqref="I16">
    <cfRule type="cellIs" dxfId="100" priority="4" operator="greaterThan">
      <formula>$H$16</formula>
    </cfRule>
  </conditionalFormatting>
  <conditionalFormatting sqref="I17">
    <cfRule type="cellIs" dxfId="99" priority="5" operator="greaterThan">
      <formula>$H$17</formula>
    </cfRule>
  </conditionalFormatting>
  <conditionalFormatting sqref="I18">
    <cfRule type="cellIs" dxfId="98" priority="6" operator="greaterThan">
      <formula>$H$18</formula>
    </cfRule>
  </conditionalFormatting>
  <conditionalFormatting sqref="I19">
    <cfRule type="cellIs" dxfId="97" priority="7" operator="greaterThan">
      <formula>$H$19</formula>
    </cfRule>
  </conditionalFormatting>
  <conditionalFormatting sqref="I20">
    <cfRule type="cellIs" dxfId="96" priority="8" operator="greaterThan">
      <formula>$H$20</formula>
    </cfRule>
  </conditionalFormatting>
  <conditionalFormatting sqref="I21">
    <cfRule type="cellIs" dxfId="95" priority="9" operator="greaterThan">
      <formula>$H$21</formula>
    </cfRule>
  </conditionalFormatting>
  <conditionalFormatting sqref="I22">
    <cfRule type="cellIs" dxfId="94" priority="10" operator="greaterThan">
      <formula>$H$22</formula>
    </cfRule>
  </conditionalFormatting>
  <conditionalFormatting sqref="I23">
    <cfRule type="cellIs" dxfId="93" priority="11" operator="greaterThan">
      <formula>$H$23</formula>
    </cfRule>
  </conditionalFormatting>
  <conditionalFormatting sqref="I24">
    <cfRule type="cellIs" dxfId="92" priority="12" operator="greaterThan">
      <formula>$H$24</formula>
    </cfRule>
  </conditionalFormatting>
  <conditionalFormatting sqref="I25">
    <cfRule type="cellIs" dxfId="91" priority="13" operator="greaterThan">
      <formula>$H$25</formula>
    </cfRule>
  </conditionalFormatting>
  <conditionalFormatting sqref="I9:J10">
    <cfRule type="cellIs" dxfId="90" priority="14" operator="lessThan">
      <formula>0</formula>
    </cfRule>
  </conditionalFormatting>
  <conditionalFormatting sqref="F10">
    <cfRule type="cellIs" dxfId="89" priority="15" operator="greaterThan">
      <formula>1</formula>
    </cfRule>
  </conditionalFormatting>
  <conditionalFormatting sqref="F10">
    <cfRule type="cellIs" dxfId="88" priority="16" operator="lessThan">
      <formula>0</formula>
    </cfRule>
  </conditionalFormatting>
  <conditionalFormatting sqref="C10">
    <cfRule type="cellIs" dxfId="87" priority="17" operator="lessThan">
      <formula>0</formula>
    </cfRule>
  </conditionalFormatting>
  <conditionalFormatting sqref="H14">
    <cfRule type="cellIs" dxfId="86" priority="18" operator="greaterThan">
      <formula>$E$14</formula>
    </cfRule>
  </conditionalFormatting>
  <conditionalFormatting sqref="H18">
    <cfRule type="cellIs" dxfId="85" priority="19" operator="greaterThan">
      <formula>$E$18</formula>
    </cfRule>
  </conditionalFormatting>
  <conditionalFormatting sqref="H19">
    <cfRule type="cellIs" dxfId="84" priority="20" operator="greaterThan">
      <formula>$E$19</formula>
    </cfRule>
  </conditionalFormatting>
  <conditionalFormatting sqref="H22">
    <cfRule type="cellIs" dxfId="83" priority="21" operator="greaterThan">
      <formula>$E$22</formula>
    </cfRule>
  </conditionalFormatting>
  <conditionalFormatting sqref="I26">
    <cfRule type="cellIs" dxfId="82" priority="22" operator="greaterThan">
      <formula>$H$26</formula>
    </cfRule>
  </conditionalFormatting>
  <conditionalFormatting sqref="I26">
    <cfRule type="cellIs" dxfId="81" priority="23" operator="greaterThan">
      <formula>$H$26</formula>
    </cfRule>
  </conditionalFormatting>
  <conditionalFormatting sqref="J17">
    <cfRule type="cellIs" dxfId="80" priority="24" operator="lessThan">
      <formula>0</formula>
    </cfRule>
  </conditionalFormatting>
  <conditionalFormatting sqref="J14">
    <cfRule type="cellIs" dxfId="79" priority="25" operator="lessThan">
      <formula>0</formula>
    </cfRule>
  </conditionalFormatting>
  <conditionalFormatting sqref="J15">
    <cfRule type="cellIs" dxfId="78" priority="26" operator="lessThan">
      <formula>0</formula>
    </cfRule>
  </conditionalFormatting>
  <conditionalFormatting sqref="J16">
    <cfRule type="cellIs" dxfId="77" priority="27" operator="lessThan">
      <formula>0</formula>
    </cfRule>
  </conditionalFormatting>
  <conditionalFormatting sqref="J18">
    <cfRule type="cellIs" dxfId="76" priority="28" operator="lessThan">
      <formula>0</formula>
    </cfRule>
  </conditionalFormatting>
  <conditionalFormatting sqref="J19">
    <cfRule type="cellIs" dxfId="75" priority="29" operator="lessThan">
      <formula>0</formula>
    </cfRule>
  </conditionalFormatting>
  <conditionalFormatting sqref="J20">
    <cfRule type="cellIs" dxfId="74" priority="30" operator="lessThan">
      <formula>0</formula>
    </cfRule>
  </conditionalFormatting>
  <conditionalFormatting sqref="J21">
    <cfRule type="cellIs" dxfId="73" priority="31" operator="lessThan">
      <formula>0</formula>
    </cfRule>
  </conditionalFormatting>
  <conditionalFormatting sqref="J22">
    <cfRule type="cellIs" dxfId="72" priority="32" operator="lessThan">
      <formula>0</formula>
    </cfRule>
  </conditionalFormatting>
  <conditionalFormatting sqref="J23">
    <cfRule type="cellIs" dxfId="71" priority="33" operator="lessThan">
      <formula>0</formula>
    </cfRule>
  </conditionalFormatting>
  <conditionalFormatting sqref="J25">
    <cfRule type="cellIs" dxfId="70" priority="34" operator="lessThan">
      <formula>0</formula>
    </cfRule>
  </conditionalFormatting>
  <conditionalFormatting sqref="J26">
    <cfRule type="cellIs" dxfId="69" priority="35" operator="lessThan">
      <formula>0</formula>
    </cfRule>
  </conditionalFormatting>
  <conditionalFormatting sqref="H31">
    <cfRule type="cellIs" dxfId="68" priority="36" operator="greaterThan">
      <formula>$G$31</formula>
    </cfRule>
  </conditionalFormatting>
  <conditionalFormatting sqref="H32">
    <cfRule type="cellIs" dxfId="67" priority="37" operator="greaterThan">
      <formula>$G$32</formula>
    </cfRule>
  </conditionalFormatting>
  <conditionalFormatting sqref="H35">
    <cfRule type="cellIs" dxfId="66" priority="38" operator="greaterThan">
      <formula>$G$35</formula>
    </cfRule>
  </conditionalFormatting>
  <conditionalFormatting sqref="H36">
    <cfRule type="cellIs" dxfId="65" priority="39" operator="greaterThan">
      <formula>$G$36</formula>
    </cfRule>
  </conditionalFormatting>
  <conditionalFormatting sqref="H37">
    <cfRule type="cellIs" dxfId="64" priority="40" operator="greaterThan">
      <formula>$G$37</formula>
    </cfRule>
  </conditionalFormatting>
  <conditionalFormatting sqref="H38">
    <cfRule type="cellIs" dxfId="63" priority="41" operator="greaterThan">
      <formula>$G$38</formula>
    </cfRule>
  </conditionalFormatting>
  <conditionalFormatting sqref="H39">
    <cfRule type="cellIs" dxfId="62" priority="42" operator="greaterThan">
      <formula>$G$39</formula>
    </cfRule>
  </conditionalFormatting>
  <conditionalFormatting sqref="H40">
    <cfRule type="cellIs" dxfId="61" priority="43" operator="greaterThan">
      <formula>$G$40</formula>
    </cfRule>
  </conditionalFormatting>
  <conditionalFormatting sqref="H41">
    <cfRule type="cellIs" dxfId="60" priority="44" operator="greaterThan">
      <formula>$G$41</formula>
    </cfRule>
  </conditionalFormatting>
  <conditionalFormatting sqref="H42">
    <cfRule type="cellIs" dxfId="59" priority="45" operator="greaterThan">
      <formula>$G$42</formula>
    </cfRule>
  </conditionalFormatting>
  <conditionalFormatting sqref="H43">
    <cfRule type="cellIs" dxfId="58" priority="46" operator="greaterThan">
      <formula>$G$43</formula>
    </cfRule>
  </conditionalFormatting>
  <conditionalFormatting sqref="H44">
    <cfRule type="cellIs" dxfId="57" priority="47" operator="greaterThan">
      <formula>$G$44</formula>
    </cfRule>
  </conditionalFormatting>
  <conditionalFormatting sqref="H45">
    <cfRule type="cellIs" dxfId="56" priority="48" operator="greaterThan">
      <formula>$G$45</formula>
    </cfRule>
  </conditionalFormatting>
  <conditionalFormatting sqref="H46">
    <cfRule type="cellIs" dxfId="55" priority="49" operator="greaterThan">
      <formula>$G$46</formula>
    </cfRule>
  </conditionalFormatting>
  <conditionalFormatting sqref="H47">
    <cfRule type="cellIs" dxfId="54" priority="50" operator="greaterThan">
      <formula>$G$47</formula>
    </cfRule>
  </conditionalFormatting>
  <conditionalFormatting sqref="H48">
    <cfRule type="cellIs" dxfId="53" priority="51" operator="greaterThan">
      <formula>$G$48</formula>
    </cfRule>
  </conditionalFormatting>
  <conditionalFormatting sqref="H49">
    <cfRule type="cellIs" dxfId="52" priority="52" operator="greaterThan">
      <formula>$G$49</formula>
    </cfRule>
  </conditionalFormatting>
  <conditionalFormatting sqref="H50">
    <cfRule type="cellIs" dxfId="51" priority="53" operator="greaterThan">
      <formula>$G$50</formula>
    </cfRule>
  </conditionalFormatting>
  <conditionalFormatting sqref="H51">
    <cfRule type="cellIs" dxfId="50" priority="54" operator="greaterThan">
      <formula>$G$51</formula>
    </cfRule>
  </conditionalFormatting>
  <conditionalFormatting sqref="H52">
    <cfRule type="cellIs" dxfId="49" priority="55" operator="greaterThan">
      <formula>$G$52</formula>
    </cfRule>
  </conditionalFormatting>
  <conditionalFormatting sqref="H53">
    <cfRule type="cellIs" dxfId="48" priority="56" operator="greaterThan">
      <formula>$G$53</formula>
    </cfRule>
  </conditionalFormatting>
  <conditionalFormatting sqref="H54">
    <cfRule type="cellIs" dxfId="47" priority="57" operator="greaterThan">
      <formula>$G$54</formula>
    </cfRule>
  </conditionalFormatting>
  <conditionalFormatting sqref="H55">
    <cfRule type="cellIs" dxfId="46" priority="58" operator="greaterThan">
      <formula>$G$55</formula>
    </cfRule>
  </conditionalFormatting>
  <conditionalFormatting sqref="H56">
    <cfRule type="cellIs" dxfId="45" priority="59" operator="greaterThan">
      <formula>$G$56</formula>
    </cfRule>
  </conditionalFormatting>
  <conditionalFormatting sqref="H57">
    <cfRule type="cellIs" dxfId="44" priority="60" operator="greaterThan">
      <formula>$G$57</formula>
    </cfRule>
  </conditionalFormatting>
  <conditionalFormatting sqref="H58">
    <cfRule type="cellIs" dxfId="43" priority="61" operator="greaterThan">
      <formula>$G$58</formula>
    </cfRule>
  </conditionalFormatting>
  <conditionalFormatting sqref="H59">
    <cfRule type="cellIs" dxfId="42" priority="62" operator="greaterThan">
      <formula>$G$59</formula>
    </cfRule>
  </conditionalFormatting>
  <conditionalFormatting sqref="H60">
    <cfRule type="cellIs" dxfId="41" priority="63" operator="greaterThan">
      <formula>$G$60</formula>
    </cfRule>
  </conditionalFormatting>
  <conditionalFormatting sqref="H61">
    <cfRule type="cellIs" dxfId="40" priority="64" operator="greaterThan">
      <formula>$G$61</formula>
    </cfRule>
  </conditionalFormatting>
  <conditionalFormatting sqref="H62">
    <cfRule type="cellIs" dxfId="39" priority="65" operator="greaterThan">
      <formula>$G$62</formula>
    </cfRule>
  </conditionalFormatting>
  <conditionalFormatting sqref="H63">
    <cfRule type="cellIs" dxfId="38" priority="66" operator="greaterThan">
      <formula>$G$63</formula>
    </cfRule>
  </conditionalFormatting>
  <conditionalFormatting sqref="I31">
    <cfRule type="cellIs" dxfId="37" priority="67" operator="lessThan">
      <formula>0</formula>
    </cfRule>
  </conditionalFormatting>
  <conditionalFormatting sqref="I32">
    <cfRule type="cellIs" dxfId="36" priority="68" operator="lessThan">
      <formula>0</formula>
    </cfRule>
  </conditionalFormatting>
  <conditionalFormatting sqref="I33">
    <cfRule type="cellIs" dxfId="35" priority="69" operator="lessThan">
      <formula>0</formula>
    </cfRule>
  </conditionalFormatting>
  <conditionalFormatting sqref="I35">
    <cfRule type="cellIs" dxfId="34" priority="70" operator="lessThan">
      <formula>0</formula>
    </cfRule>
  </conditionalFormatting>
  <conditionalFormatting sqref="I36">
    <cfRule type="cellIs" dxfId="33" priority="71" operator="lessThan">
      <formula>0</formula>
    </cfRule>
  </conditionalFormatting>
  <conditionalFormatting sqref="I37">
    <cfRule type="cellIs" dxfId="32" priority="72" operator="lessThan">
      <formula>0</formula>
    </cfRule>
  </conditionalFormatting>
  <conditionalFormatting sqref="I38">
    <cfRule type="cellIs" dxfId="31" priority="73" operator="lessThan">
      <formula>0</formula>
    </cfRule>
  </conditionalFormatting>
  <conditionalFormatting sqref="I39">
    <cfRule type="cellIs" dxfId="30" priority="74" operator="lessThan">
      <formula>0</formula>
    </cfRule>
  </conditionalFormatting>
  <conditionalFormatting sqref="I40">
    <cfRule type="cellIs" dxfId="29" priority="75" operator="lessThan">
      <formula>0</formula>
    </cfRule>
  </conditionalFormatting>
  <conditionalFormatting sqref="I41">
    <cfRule type="cellIs" dxfId="28" priority="76" operator="lessThan">
      <formula>0</formula>
    </cfRule>
  </conditionalFormatting>
  <conditionalFormatting sqref="I42">
    <cfRule type="cellIs" dxfId="27" priority="77" operator="lessThan">
      <formula>0</formula>
    </cfRule>
  </conditionalFormatting>
  <conditionalFormatting sqref="I43">
    <cfRule type="cellIs" dxfId="26" priority="78" operator="lessThan">
      <formula>0</formula>
    </cfRule>
  </conditionalFormatting>
  <conditionalFormatting sqref="I44">
    <cfRule type="cellIs" dxfId="25" priority="79" operator="lessThan">
      <formula>0</formula>
    </cfRule>
  </conditionalFormatting>
  <conditionalFormatting sqref="I45">
    <cfRule type="cellIs" dxfId="24" priority="80" operator="lessThan">
      <formula>0</formula>
    </cfRule>
  </conditionalFormatting>
  <conditionalFormatting sqref="I46">
    <cfRule type="cellIs" dxfId="23" priority="81" operator="lessThan">
      <formula>0</formula>
    </cfRule>
  </conditionalFormatting>
  <conditionalFormatting sqref="I47">
    <cfRule type="cellIs" dxfId="22" priority="82" operator="lessThan">
      <formula>0</formula>
    </cfRule>
  </conditionalFormatting>
  <conditionalFormatting sqref="I48">
    <cfRule type="cellIs" dxfId="21" priority="83" operator="lessThan">
      <formula>0</formula>
    </cfRule>
  </conditionalFormatting>
  <conditionalFormatting sqref="I49">
    <cfRule type="cellIs" dxfId="20" priority="84" operator="lessThan">
      <formula>0</formula>
    </cfRule>
  </conditionalFormatting>
  <conditionalFormatting sqref="I50">
    <cfRule type="cellIs" dxfId="19" priority="85" operator="lessThan">
      <formula>0</formula>
    </cfRule>
  </conditionalFormatting>
  <conditionalFormatting sqref="I51">
    <cfRule type="cellIs" dxfId="18" priority="86" operator="lessThan">
      <formula>0</formula>
    </cfRule>
  </conditionalFormatting>
  <conditionalFormatting sqref="I52">
    <cfRule type="cellIs" dxfId="17" priority="87" operator="lessThan">
      <formula>0</formula>
    </cfRule>
  </conditionalFormatting>
  <conditionalFormatting sqref="I53">
    <cfRule type="cellIs" dxfId="16" priority="88" operator="lessThan">
      <formula>0</formula>
    </cfRule>
  </conditionalFormatting>
  <conditionalFormatting sqref="I54">
    <cfRule type="cellIs" dxfId="15" priority="89" operator="lessThan">
      <formula>0</formula>
    </cfRule>
  </conditionalFormatting>
  <conditionalFormatting sqref="I55">
    <cfRule type="cellIs" dxfId="14" priority="90" operator="lessThan">
      <formula>0</formula>
    </cfRule>
  </conditionalFormatting>
  <conditionalFormatting sqref="I56">
    <cfRule type="cellIs" dxfId="13" priority="91" operator="lessThan">
      <formula>0</formula>
    </cfRule>
  </conditionalFormatting>
  <conditionalFormatting sqref="I57">
    <cfRule type="cellIs" dxfId="12" priority="92" operator="lessThan">
      <formula>0</formula>
    </cfRule>
  </conditionalFormatting>
  <conditionalFormatting sqref="I58">
    <cfRule type="cellIs" dxfId="11" priority="93" operator="lessThan">
      <formula>0</formula>
    </cfRule>
  </conditionalFormatting>
  <conditionalFormatting sqref="I59">
    <cfRule type="cellIs" dxfId="10" priority="94" operator="lessThan">
      <formula>0</formula>
    </cfRule>
  </conditionalFormatting>
  <conditionalFormatting sqref="I60">
    <cfRule type="cellIs" dxfId="9" priority="95" operator="lessThan">
      <formula>0</formula>
    </cfRule>
  </conditionalFormatting>
  <conditionalFormatting sqref="I61">
    <cfRule type="cellIs" dxfId="8" priority="96" operator="lessThan">
      <formula>0</formula>
    </cfRule>
  </conditionalFormatting>
  <conditionalFormatting sqref="I62">
    <cfRule type="cellIs" dxfId="7" priority="97" operator="lessThan">
      <formula>0</formula>
    </cfRule>
  </conditionalFormatting>
  <conditionalFormatting sqref="I63">
    <cfRule type="cellIs" dxfId="6" priority="98" operator="lessThan">
      <formula>0</formula>
    </cfRule>
  </conditionalFormatting>
  <conditionalFormatting sqref="I64">
    <cfRule type="cellIs" dxfId="5" priority="99" operator="lessThan">
      <formula>0</formula>
    </cfRule>
  </conditionalFormatting>
  <conditionalFormatting sqref="F26:G26">
    <cfRule type="cellIs" dxfId="4" priority="100" operator="greaterThan">
      <formula>$C$9</formula>
    </cfRule>
  </conditionalFormatting>
  <conditionalFormatting sqref="H26">
    <cfRule type="cellIs" dxfId="3" priority="101" operator="greaterThan">
      <formula>$F$26</formula>
    </cfRule>
  </conditionalFormatting>
  <conditionalFormatting sqref="E64:F64">
    <cfRule type="cellIs" dxfId="2" priority="102" operator="greaterThan">
      <formula>$C$9</formula>
    </cfRule>
  </conditionalFormatting>
  <conditionalFormatting sqref="G64">
    <cfRule type="cellIs" dxfId="1" priority="103" operator="greaterThan">
      <formula>$E$64</formula>
    </cfRule>
  </conditionalFormatting>
  <conditionalFormatting sqref="I34">
    <cfRule type="cellIs" dxfId="0" priority="104" operator="lessThan">
      <formula>0</formula>
    </cfRule>
  </conditionalFormatting>
  <dataValidations count="5">
    <dataValidation type="list" allowBlank="1" showErrorMessage="1" sqref="C5">
      <formula1>"씨앗,줄기,열매,자율의제"</formula1>
    </dataValidation>
    <dataValidation type="list" allowBlank="1" showErrorMessage="1" sqref="Q31:Q70">
      <formula1>"체크카드,계좌이체"</formula1>
    </dataValidation>
    <dataValidation type="list" allowBlank="1" showErrorMessage="1" sqref="M31:M70">
      <formula1>"세부사업 1,세부사업 2,세부사업 3"</formula1>
    </dataValidation>
    <dataValidation type="list" allowBlank="1" showErrorMessage="1" sqref="S31:S70">
      <formula1>"검토,요청,완료"</formula1>
    </dataValidation>
    <dataValidation type="list" allowBlank="1" showErrorMessage="1" sqref="N31:N70">
      <formula1>"활동비,홍보인쇄비,소모품구입비,임차비,간담회비,회의비,원고비,강사비,공연비,견학비,인터넷통신우편비"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03 온쉼공동체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최은주 유성구지역공동체지원센터</dc:creator>
  <cp:lastModifiedBy>USER</cp:lastModifiedBy>
  <dcterms:created xsi:type="dcterms:W3CDTF">2024-05-10T05:53:59Z</dcterms:created>
  <dcterms:modified xsi:type="dcterms:W3CDTF">2025-12-23T05:21:43Z</dcterms:modified>
</cp:coreProperties>
</file>